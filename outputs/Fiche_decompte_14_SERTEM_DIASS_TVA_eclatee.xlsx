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che décompte" sheetId="1" state="visible" r:id="rId3"/>
    <sheet name="Synthèse TVA" sheetId="2" state="visible" r:id="rId4"/>
  </sheets>
  <definedNames>
    <definedName function="false" hidden="true" localSheetId="0" name="_xlnm._FilterDatabase" vbProcedure="false">'Fiche décompte'!$A$7:$T$79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3" authorId="0">
      <text>
        <r>
          <rPr>
            <sz val="10"/>
            <rFont val="Arial"/>
            <family val="2"/>
          </rPr>
          <t xml:space="preserve">Sur la fiche, ce montant (4 090 644 963) correspond en réalité au solde restant à rembourser sur les acomptes d'approvisionnement (5 549 400 000 − 1 458 755 037 remboursés), et non au total remboursé.</t>
        </r>
      </text>
    </comment>
  </commentList>
</comments>
</file>

<file path=xl/sharedStrings.xml><?xml version="1.0" encoding="utf-8"?>
<sst xmlns="http://schemas.openxmlformats.org/spreadsheetml/2006/main" count="257" uniqueCount="140">
  <si>
    <t xml:space="preserve">FICHE DE DECOMPTE DU GROUPEMENT SERTEM / DIASS INDUSTRIES — Décompte n°14</t>
  </si>
  <si>
    <t xml:space="preserve">Travaux d'aménagement de voiries et réseaux divers et de construction d'infrastructures structurantes de la ZESID (montants en FCFA / XOF)</t>
  </si>
  <si>
    <t xml:space="preserve">Taux de TVA</t>
  </si>
  <si>
    <t xml:space="preserve">← hypothèse modifiable, utilisée par toutes les colonnes de TVA éclatée</t>
  </si>
  <si>
    <t xml:space="preserve">Source : fiche de décompte n°14 SERTEM/DIASS (PDF). Montants en bleu = saisis depuis la fiche ; noir = formules.</t>
  </si>
  <si>
    <t xml:space="preserve">SERTEM GROUP SASU</t>
  </si>
  <si>
    <t xml:space="preserve">DIASS INDUSTRIES SARL</t>
  </si>
  <si>
    <t xml:space="preserve">TVA ÉCLATÉE (taux × part HT/HD)</t>
  </si>
  <si>
    <t xml:space="preserve">CONTRÔLES</t>
  </si>
  <si>
    <t xml:space="preserve">Date</t>
  </si>
  <si>
    <t xml:space="preserve">Libellé (APIX/DISEZ)</t>
  </si>
  <si>
    <t xml:space="preserve">Catégorie</t>
  </si>
  <si>
    <t xml:space="preserve">N° facture</t>
  </si>
  <si>
    <t xml:space="preserve">Montant total HT/HD</t>
  </si>
  <si>
    <t xml:space="preserve">Part État HT/HD 5%</t>
  </si>
  <si>
    <t xml:space="preserve">Part BOAD HT/HD 95%</t>
  </si>
  <si>
    <t xml:space="preserve">Droits de douane</t>
  </si>
  <si>
    <t xml:space="preserve">Montant TVA (fiche)</t>
  </si>
  <si>
    <t xml:space="preserve">Montant TTC (fiche)</t>
  </si>
  <si>
    <t xml:space="preserve">TVA SERTEM État</t>
  </si>
  <si>
    <t xml:space="preserve">TVA SERTEM BOAD</t>
  </si>
  <si>
    <t xml:space="preserve">TVA DIASS État</t>
  </si>
  <si>
    <t xml:space="preserve">TVA DIASS BOAD</t>
  </si>
  <si>
    <t xml:space="preserve">TVA SERTEM</t>
  </si>
  <si>
    <t xml:space="preserve">TVA DIASS</t>
  </si>
  <si>
    <t xml:space="preserve">Écart TVA (éclatée − fiche)</t>
  </si>
  <si>
    <t xml:space="preserve">Écart TTC (fiche − HT − TVA)</t>
  </si>
  <si>
    <t xml:space="preserve">Montant du contrat</t>
  </si>
  <si>
    <t xml:space="preserve">Contrat</t>
  </si>
  <si>
    <t xml:space="preserve">Avance de démarrage 20%</t>
  </si>
  <si>
    <t xml:space="preserve">Avance démarrage</t>
  </si>
  <si>
    <t xml:space="preserve">2023/ZESID/TVX - 01</t>
  </si>
  <si>
    <t xml:space="preserve">NET A PAYER</t>
  </si>
  <si>
    <t xml:space="preserve">Net à payer</t>
  </si>
  <si>
    <t xml:space="preserve">Décompte 01</t>
  </si>
  <si>
    <t xml:space="preserve">Décompte</t>
  </si>
  <si>
    <t xml:space="preserve">2024/ZESID/TVX - 03</t>
  </si>
  <si>
    <t xml:space="preserve">Remboursement avance de démarrage Décompte 01</t>
  </si>
  <si>
    <t xml:space="preserve">Remb. avance démarrage</t>
  </si>
  <si>
    <t xml:space="preserve">Retenue de garantie Décompte 01</t>
  </si>
  <si>
    <t xml:space="preserve">Retenue de garantie</t>
  </si>
  <si>
    <t xml:space="preserve">NET A PAYER DECOMPTE 01</t>
  </si>
  <si>
    <t xml:space="preserve">Décompte 02</t>
  </si>
  <si>
    <t xml:space="preserve">2024/ZESID/TVX - 05</t>
  </si>
  <si>
    <t xml:space="preserve">Remboursement avance de démarrage Décompte 02</t>
  </si>
  <si>
    <t xml:space="preserve">Retenue de garantie Décompte 02</t>
  </si>
  <si>
    <t xml:space="preserve">NET A PAYER DECOMPTE 02</t>
  </si>
  <si>
    <t xml:space="preserve">Décompte 03</t>
  </si>
  <si>
    <t xml:space="preserve">2024/ZESID/TVX - 06</t>
  </si>
  <si>
    <t xml:space="preserve">Remboursement avance de démarrage Décompte 03</t>
  </si>
  <si>
    <t xml:space="preserve">Retenue de garantie Décompte 03</t>
  </si>
  <si>
    <t xml:space="preserve">NET A PAYER DECOMPTE 03</t>
  </si>
  <si>
    <t xml:space="preserve">Décompte 04</t>
  </si>
  <si>
    <t xml:space="preserve">2024/ZESID/TVX - 07</t>
  </si>
  <si>
    <t xml:space="preserve">Remboursement avance de démarrage Décompte 04</t>
  </si>
  <si>
    <t xml:space="preserve">Retenue de garantie Décompte 04</t>
  </si>
  <si>
    <t xml:space="preserve">NET A PAYER DECOMPTE 04</t>
  </si>
  <si>
    <t xml:space="preserve">Décompte 05</t>
  </si>
  <si>
    <t xml:space="preserve">2024/ZESID/TVX - 08</t>
  </si>
  <si>
    <t xml:space="preserve">Remboursement avance de démarrage Décompte 05</t>
  </si>
  <si>
    <t xml:space="preserve">Retenue de garantie Décompte 05</t>
  </si>
  <si>
    <t xml:space="preserve">NET A PAYER DECOMPTE 05</t>
  </si>
  <si>
    <t xml:space="preserve">Décompte 06</t>
  </si>
  <si>
    <t xml:space="preserve">2024/ZESID/TVX - 09</t>
  </si>
  <si>
    <t xml:space="preserve">Remboursement avance de démarrage Décompte 06</t>
  </si>
  <si>
    <t xml:space="preserve">Retenue de garantie Décompte 06</t>
  </si>
  <si>
    <t xml:space="preserve">NET A PAYER DECOMPTE 06</t>
  </si>
  <si>
    <t xml:space="preserve">Décompte 07</t>
  </si>
  <si>
    <t xml:space="preserve">2024/ZESID/TVX - 10</t>
  </si>
  <si>
    <t xml:space="preserve">Remboursement avance de démarrage Décompte 07</t>
  </si>
  <si>
    <t xml:space="preserve">Retenue de garantie Décompte 07</t>
  </si>
  <si>
    <t xml:space="preserve">NET A PAYER DECOMPTE 07</t>
  </si>
  <si>
    <t xml:space="preserve">Acompte sur approvisionnement n°01 - part 01</t>
  </si>
  <si>
    <t xml:space="preserve">Acompte appro</t>
  </si>
  <si>
    <t xml:space="preserve">2024/ZESID/TVX - 11</t>
  </si>
  <si>
    <t xml:space="preserve">Acompte sur approvisionnement n°01 - part 02</t>
  </si>
  <si>
    <t xml:space="preserve">2024/ZESID/TVX - 12</t>
  </si>
  <si>
    <t xml:space="preserve">NET A PAYER ACOMPTE APPROVISIONNEMENT N°01 &amp; N°02</t>
  </si>
  <si>
    <t xml:space="preserve">Décompte 08</t>
  </si>
  <si>
    <t xml:space="preserve">2025/ZESID/TVX - 01</t>
  </si>
  <si>
    <t xml:space="preserve">Remboursement avance de démarrage Décompte 08</t>
  </si>
  <si>
    <t xml:space="preserve">Retenue de garantie Décompte 08</t>
  </si>
  <si>
    <t xml:space="preserve">NET A PAYER DECOMPTE 08</t>
  </si>
  <si>
    <t xml:space="preserve">Décompte 09</t>
  </si>
  <si>
    <t xml:space="preserve">2025/ZESID/TVX - 02</t>
  </si>
  <si>
    <t xml:space="preserve">Remboursement avance de démarrage Décompte 09</t>
  </si>
  <si>
    <t xml:space="preserve">Retenue de garantie Décompte 09</t>
  </si>
  <si>
    <t xml:space="preserve">NET A PAYER DECOMPTE 09</t>
  </si>
  <si>
    <t xml:space="preserve">Décompte 10</t>
  </si>
  <si>
    <t xml:space="preserve">2025/ZESID/TVX - 03</t>
  </si>
  <si>
    <t xml:space="preserve">Remboursement avance de démarrage Décompte 10</t>
  </si>
  <si>
    <t xml:space="preserve">Retenue de garantie Décompte 10</t>
  </si>
  <si>
    <t xml:space="preserve">NET A PAYER DECOMPTE 10</t>
  </si>
  <si>
    <t xml:space="preserve">Facture acompte sur approvisionnement n°02</t>
  </si>
  <si>
    <t xml:space="preserve">2025/ZESID/TVX - 04</t>
  </si>
  <si>
    <t xml:space="preserve">NET A PAYER ACOMPTE SUR APPRO N°02</t>
  </si>
  <si>
    <t xml:space="preserve">Décompte 11</t>
  </si>
  <si>
    <t xml:space="preserve">2025/ZESID/TVX - 05</t>
  </si>
  <si>
    <t xml:space="preserve">Remboursement avance de démarrage Décompte 11</t>
  </si>
  <si>
    <t xml:space="preserve">Retenue de garantie Décompte 11</t>
  </si>
  <si>
    <t xml:space="preserve">Remboursement n°01 / acompte sur approvisionnement n°01</t>
  </si>
  <si>
    <t xml:space="preserve">Remb. acompte appro</t>
  </si>
  <si>
    <t xml:space="preserve">NET A PAYER DECOMPTE 11</t>
  </si>
  <si>
    <t xml:space="preserve">NET A PAYER ACOMPTE SUR APPRO N°02 &amp; DECOMPTE 11</t>
  </si>
  <si>
    <t xml:space="preserve">Décompte 12</t>
  </si>
  <si>
    <t xml:space="preserve">2025/ZESID/TVX - 06</t>
  </si>
  <si>
    <t xml:space="preserve">Remboursement avance de démarrage Décompte 12</t>
  </si>
  <si>
    <t xml:space="preserve">Retenue de garantie Décompte 12</t>
  </si>
  <si>
    <t xml:space="preserve">Remboursement n°02 / acompte sur approvisionnement n°01</t>
  </si>
  <si>
    <t xml:space="preserve">Remboursement n°01 / acompte sur approvisionnement n°02</t>
  </si>
  <si>
    <t xml:space="preserve">NET A PAYER DECOMPTE 12</t>
  </si>
  <si>
    <t xml:space="preserve">Décompte 13</t>
  </si>
  <si>
    <t xml:space="preserve">2026/ZESID/TVX - 01</t>
  </si>
  <si>
    <t xml:space="preserve">Remboursement avance de démarrage Décompte 13</t>
  </si>
  <si>
    <t xml:space="preserve">Retenue de garantie Décompte 13</t>
  </si>
  <si>
    <t xml:space="preserve">Remboursement n°03 / acompte sur approvisionnement n°01</t>
  </si>
  <si>
    <t xml:space="preserve">Remboursement n°02 / acompte sur approvisionnement n°02</t>
  </si>
  <si>
    <t xml:space="preserve">NET A PAYER DECOMPTE 13</t>
  </si>
  <si>
    <t xml:space="preserve">Décompte 14</t>
  </si>
  <si>
    <t xml:space="preserve">2026/ZESID/TVX - 02</t>
  </si>
  <si>
    <t xml:space="preserve">Remboursement avance de démarrage Décompte 14</t>
  </si>
  <si>
    <t xml:space="preserve">Retenue de garantie Décompte 14</t>
  </si>
  <si>
    <t xml:space="preserve">Remboursement n°04 / acompte sur approvisionnement n°01</t>
  </si>
  <si>
    <t xml:space="preserve">Remboursement n°03 / acompte sur approvisionnement n°02</t>
  </si>
  <si>
    <t xml:space="preserve">NET A PAYER DECOMPTE 14</t>
  </si>
  <si>
    <t xml:space="preserve">TOTAL DECOMPTES</t>
  </si>
  <si>
    <t xml:space="preserve">Total fiche</t>
  </si>
  <si>
    <t xml:space="preserve">TOTAL REMBOURSEMENT AVANCE DEMARRAGE</t>
  </si>
  <si>
    <t xml:space="preserve">TOTAL REMBOURSEMENT AVANCE APPROVISIONNEMENT</t>
  </si>
  <si>
    <t xml:space="preserve">RESTE A PAYER SUR CONTRAT</t>
  </si>
  <si>
    <t xml:space="preserve">Écarts &gt; 5 XOF surlignés en rouge (les écarts de 1 à 3 XOF viennent des arrondis de la fiche). Écart TTC : non calculé pour les lignes « Net à payer » ; droits de douane intégrés au TTC uniquement sur la ligne Contrat.</t>
  </si>
  <si>
    <t xml:space="preserve">SYNTHÈSE DE LA TVA PAR CATÉGORIE ET PAR ENTREPRISE (FCFA)</t>
  </si>
  <si>
    <t xml:space="preserve">Calculé par SOMME.SI.ENS sur l'onglet « Fiche décompte » (lignes « Net à payer » et totaux exclus).</t>
  </si>
  <si>
    <t xml:space="preserve">Montant HT/HD</t>
  </si>
  <si>
    <t xml:space="preserve">TVA totale éclatée</t>
  </si>
  <si>
    <t xml:space="preserve">TVA fiche</t>
  </si>
  <si>
    <t xml:space="preserve">Écart</t>
  </si>
  <si>
    <t xml:space="preserve">TVA avance de démarrage restant à rembourser</t>
  </si>
  <si>
    <t xml:space="preserve">TVA acomptes appro restant à rembourser</t>
  </si>
  <si>
    <t xml:space="preserve">Nota : sur la ligne « Remb. avance démarrage » du décompte 01, la TVA de la fiche (31 599 292) ne correspond pas à 18 % du HT (33 269 543) — d'où l'écart de 1 670 251 XOF.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</si>
</sst>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dd/mm/yyyy"/>
    <numFmt numFmtId="167" formatCode="#,##0;\(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7B2C2C"/>
        <bgColor rgb="FF993366"/>
      </patternFill>
    </fill>
    <fill>
      <patternFill patternType="solid">
        <fgColor rgb="FFD9D9D9"/>
        <bgColor rgb="FFE7EEF7"/>
      </patternFill>
    </fill>
    <fill>
      <patternFill patternType="solid">
        <fgColor rgb="FFE7EE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E7EE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B2C2C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7EE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7B2C2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7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7"/>
    <col collapsed="false" customWidth="true" hidden="false" outlineLevel="0" max="13" min="13" style="0" width="15"/>
    <col collapsed="false" customWidth="true" hidden="false" outlineLevel="0" max="14" min="14" style="0" width="16"/>
    <col collapsed="false" customWidth="true" hidden="false" outlineLevel="0" max="15" min="15" style="0" width="15"/>
    <col collapsed="false" customWidth="true" hidden="false" outlineLevel="0" max="18" min="16" style="0" width="16"/>
    <col collapsed="false" customWidth="true" hidden="false" outlineLevel="0" max="19" min="19" style="0" width="14"/>
    <col collapsed="false" customWidth="true" hidden="false" outlineLevel="0" max="20" min="20" style="0" width="1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n">
        <v>0.18</v>
      </c>
      <c r="C3" s="2" t="s">
        <v>3</v>
      </c>
    </row>
    <row r="4" customFormat="false" ht="15" hidden="false" customHeight="false" outlineLevel="0" collapsed="false">
      <c r="A4" s="2" t="s">
        <v>4</v>
      </c>
    </row>
    <row r="6" customFormat="false" ht="15" hidden="false" customHeight="false" outlineLevel="0" collapsed="false">
      <c r="A6" s="5"/>
      <c r="B6" s="5"/>
      <c r="C6" s="5"/>
      <c r="D6" s="5"/>
      <c r="E6" s="5"/>
      <c r="F6" s="5" t="s">
        <v>5</v>
      </c>
      <c r="G6" s="5"/>
      <c r="H6" s="5" t="s">
        <v>6</v>
      </c>
      <c r="I6" s="5"/>
      <c r="J6" s="5"/>
      <c r="K6" s="5"/>
      <c r="L6" s="5"/>
      <c r="M6" s="6" t="s">
        <v>7</v>
      </c>
      <c r="N6" s="6"/>
      <c r="O6" s="6"/>
      <c r="P6" s="6"/>
      <c r="Q6" s="6"/>
      <c r="R6" s="6"/>
      <c r="S6" s="6" t="s">
        <v>8</v>
      </c>
      <c r="T6" s="6"/>
    </row>
    <row r="7" customFormat="false" ht="42" hidden="false" customHeight="true" outlineLevel="0" collapsed="false">
      <c r="A7" s="7" t="s">
        <v>9</v>
      </c>
      <c r="B7" s="7" t="s">
        <v>10</v>
      </c>
      <c r="C7" s="7" t="s">
        <v>11</v>
      </c>
      <c r="D7" s="7" t="s">
        <v>12</v>
      </c>
      <c r="E7" s="7" t="s">
        <v>13</v>
      </c>
      <c r="F7" s="7" t="s">
        <v>14</v>
      </c>
      <c r="G7" s="7" t="s">
        <v>15</v>
      </c>
      <c r="H7" s="7" t="s">
        <v>14</v>
      </c>
      <c r="I7" s="7" t="s">
        <v>15</v>
      </c>
      <c r="J7" s="7" t="s">
        <v>16</v>
      </c>
      <c r="K7" s="7" t="s">
        <v>17</v>
      </c>
      <c r="L7" s="7" t="s">
        <v>18</v>
      </c>
      <c r="M7" s="8" t="s">
        <v>19</v>
      </c>
      <c r="N7" s="8" t="s">
        <v>20</v>
      </c>
      <c r="O7" s="8" t="s">
        <v>21</v>
      </c>
      <c r="P7" s="8" t="s">
        <v>22</v>
      </c>
      <c r="Q7" s="8" t="s">
        <v>23</v>
      </c>
      <c r="R7" s="8" t="s">
        <v>24</v>
      </c>
      <c r="S7" s="8" t="s">
        <v>25</v>
      </c>
      <c r="T7" s="8" t="s">
        <v>26</v>
      </c>
    </row>
    <row r="8" customFormat="false" ht="15" hidden="false" customHeight="false" outlineLevel="0" collapsed="false">
      <c r="A8" s="9"/>
      <c r="B8" s="10" t="s">
        <v>27</v>
      </c>
      <c r="C8" s="11" t="s">
        <v>28</v>
      </c>
      <c r="D8" s="10"/>
      <c r="E8" s="12" t="n">
        <v>27747000000</v>
      </c>
      <c r="F8" s="12" t="n">
        <v>971145000</v>
      </c>
      <c r="G8" s="12" t="n">
        <v>18451755000</v>
      </c>
      <c r="H8" s="12" t="n">
        <v>416205000</v>
      </c>
      <c r="I8" s="12" t="n">
        <v>7907895000</v>
      </c>
      <c r="J8" s="12" t="n">
        <v>1466629384</v>
      </c>
      <c r="K8" s="12" t="n">
        <v>5258453289</v>
      </c>
      <c r="L8" s="12" t="n">
        <v>34472082673</v>
      </c>
      <c r="M8" s="13" t="n">
        <f aca="false">ROUND(F8*$B$3,0)</f>
        <v>174806100</v>
      </c>
      <c r="N8" s="13" t="n">
        <f aca="false">ROUND(G8*$B$3,0)</f>
        <v>3321315900</v>
      </c>
      <c r="O8" s="13" t="n">
        <f aca="false">ROUND(H8*$B$3,0)</f>
        <v>74916900</v>
      </c>
      <c r="P8" s="13" t="n">
        <f aca="false">ROUND(I8*$B$3,0)</f>
        <v>1423421100</v>
      </c>
      <c r="Q8" s="13" t="n">
        <f aca="false">M8+N8</f>
        <v>3496122000</v>
      </c>
      <c r="R8" s="13" t="n">
        <f aca="false">O8+P8</f>
        <v>1498338000</v>
      </c>
      <c r="S8" s="13" t="n">
        <f aca="false">Q8+R8-K8</f>
        <v>-263993289</v>
      </c>
      <c r="T8" s="13" t="n">
        <f aca="false">IF(C8="Net à payer","",L8-E8-K8-IF(C8="Contrat",J8,0))</f>
        <v>0</v>
      </c>
    </row>
    <row r="9" customFormat="false" ht="15" hidden="false" customHeight="false" outlineLevel="0" collapsed="false">
      <c r="A9" s="14" t="n">
        <v>45218</v>
      </c>
      <c r="B9" s="15" t="s">
        <v>29</v>
      </c>
      <c r="C9" s="16" t="s">
        <v>30</v>
      </c>
      <c r="D9" s="15" t="s">
        <v>31</v>
      </c>
      <c r="E9" s="17" t="n">
        <v>5549400000</v>
      </c>
      <c r="F9" s="17" t="n">
        <v>194229000</v>
      </c>
      <c r="G9" s="17" t="n">
        <v>3690351000</v>
      </c>
      <c r="H9" s="17" t="n">
        <v>83241000</v>
      </c>
      <c r="I9" s="17" t="n">
        <v>1581579000</v>
      </c>
      <c r="J9" s="17" t="n">
        <v>0</v>
      </c>
      <c r="K9" s="17" t="n">
        <v>998892000</v>
      </c>
      <c r="L9" s="17" t="n">
        <v>6548292000</v>
      </c>
      <c r="M9" s="18" t="n">
        <f aca="false">ROUND(F9*$B$3,0)</f>
        <v>34961220</v>
      </c>
      <c r="N9" s="18" t="n">
        <f aca="false">ROUND(G9*$B$3,0)</f>
        <v>664263180</v>
      </c>
      <c r="O9" s="18" t="n">
        <f aca="false">ROUND(H9*$B$3,0)</f>
        <v>14983380</v>
      </c>
      <c r="P9" s="18" t="n">
        <f aca="false">ROUND(I9*$B$3,0)</f>
        <v>284684220</v>
      </c>
      <c r="Q9" s="18" t="n">
        <f aca="false">M9+N9</f>
        <v>699224400</v>
      </c>
      <c r="R9" s="18" t="n">
        <f aca="false">O9+P9</f>
        <v>299667600</v>
      </c>
      <c r="S9" s="18" t="n">
        <f aca="false">Q9+R9-K9</f>
        <v>0</v>
      </c>
      <c r="T9" s="18" t="n">
        <f aca="false">IF(C9="Net à payer","",L9-E9-K9-IF(C9="Contrat",J9,0))</f>
        <v>0</v>
      </c>
    </row>
    <row r="10" customFormat="false" ht="15" hidden="false" customHeight="false" outlineLevel="0" collapsed="false">
      <c r="A10" s="19"/>
      <c r="B10" s="20" t="s">
        <v>32</v>
      </c>
      <c r="C10" s="21" t="s">
        <v>33</v>
      </c>
      <c r="D10" s="20"/>
      <c r="E10" s="22" t="n">
        <v>5549400000</v>
      </c>
      <c r="F10" s="22" t="n">
        <v>194229000</v>
      </c>
      <c r="G10" s="22" t="n">
        <v>3690351000</v>
      </c>
      <c r="H10" s="22" t="n">
        <v>83241000</v>
      </c>
      <c r="I10" s="22" t="n">
        <v>1581579000</v>
      </c>
      <c r="J10" s="22" t="n">
        <v>0</v>
      </c>
      <c r="K10" s="22" t="n">
        <v>998892000</v>
      </c>
      <c r="L10" s="22" t="n">
        <v>6548292000</v>
      </c>
      <c r="M10" s="23" t="n">
        <f aca="false">ROUND(F10*$B$3,0)</f>
        <v>34961220</v>
      </c>
      <c r="N10" s="23" t="n">
        <f aca="false">ROUND(G10*$B$3,0)</f>
        <v>664263180</v>
      </c>
      <c r="O10" s="23" t="n">
        <f aca="false">ROUND(H10*$B$3,0)</f>
        <v>14983380</v>
      </c>
      <c r="P10" s="23" t="n">
        <f aca="false">ROUND(I10*$B$3,0)</f>
        <v>284684220</v>
      </c>
      <c r="Q10" s="23" t="n">
        <f aca="false">M10+N10</f>
        <v>699224400</v>
      </c>
      <c r="R10" s="23" t="n">
        <f aca="false">O10+P10</f>
        <v>299667600</v>
      </c>
      <c r="S10" s="23" t="n">
        <f aca="false">Q10+R10-K10</f>
        <v>0</v>
      </c>
      <c r="T10" s="23" t="str">
        <f aca="false">IF(C10="Net à payer","",L10-E10-K10-IF(C10="Contrat",J10,0))</f>
        <v/>
      </c>
    </row>
    <row r="11" customFormat="false" ht="15" hidden="false" customHeight="false" outlineLevel="0" collapsed="false">
      <c r="A11" s="14" t="n">
        <v>45366</v>
      </c>
      <c r="B11" s="15" t="s">
        <v>34</v>
      </c>
      <c r="C11" s="16" t="s">
        <v>35</v>
      </c>
      <c r="D11" s="15" t="s">
        <v>36</v>
      </c>
      <c r="E11" s="17" t="n">
        <v>739323172</v>
      </c>
      <c r="F11" s="17" t="n">
        <v>35161028</v>
      </c>
      <c r="G11" s="17" t="n">
        <v>668059532</v>
      </c>
      <c r="H11" s="17" t="n">
        <v>1805131</v>
      </c>
      <c r="I11" s="17" t="n">
        <v>34297481</v>
      </c>
      <c r="J11" s="17" t="n">
        <v>0</v>
      </c>
      <c r="K11" s="17" t="n">
        <v>133078171</v>
      </c>
      <c r="L11" s="17" t="n">
        <v>872401343</v>
      </c>
      <c r="M11" s="18" t="n">
        <f aca="false">ROUND(F11*$B$3,0)</f>
        <v>6328985</v>
      </c>
      <c r="N11" s="18" t="n">
        <f aca="false">ROUND(G11*$B$3,0)</f>
        <v>120250716</v>
      </c>
      <c r="O11" s="18" t="n">
        <f aca="false">ROUND(H11*$B$3,0)</f>
        <v>324924</v>
      </c>
      <c r="P11" s="18" t="n">
        <f aca="false">ROUND(I11*$B$3,0)</f>
        <v>6173547</v>
      </c>
      <c r="Q11" s="18" t="n">
        <f aca="false">M11+N11</f>
        <v>126579701</v>
      </c>
      <c r="R11" s="18" t="n">
        <f aca="false">O11+P11</f>
        <v>6498471</v>
      </c>
      <c r="S11" s="18" t="n">
        <f aca="false">Q11+R11-K11</f>
        <v>1</v>
      </c>
      <c r="T11" s="18" t="n">
        <f aca="false">IF(C11="Net à payer","",L11-E11-K11-IF(C11="Contrat",J11,0))</f>
        <v>0</v>
      </c>
    </row>
    <row r="12" customFormat="false" ht="15" hidden="false" customHeight="false" outlineLevel="0" collapsed="false">
      <c r="A12" s="14" t="n">
        <v>45366</v>
      </c>
      <c r="B12" s="15" t="s">
        <v>37</v>
      </c>
      <c r="C12" s="16" t="s">
        <v>38</v>
      </c>
      <c r="D12" s="15" t="s">
        <v>36</v>
      </c>
      <c r="E12" s="17" t="n">
        <v>184830793</v>
      </c>
      <c r="F12" s="17" t="n">
        <v>8790257</v>
      </c>
      <c r="G12" s="17" t="n">
        <v>167014883</v>
      </c>
      <c r="H12" s="17" t="n">
        <v>451283</v>
      </c>
      <c r="I12" s="17" t="n">
        <v>8574370</v>
      </c>
      <c r="J12" s="17" t="n">
        <v>0</v>
      </c>
      <c r="K12" s="17" t="n">
        <v>31599292</v>
      </c>
      <c r="L12" s="17" t="n">
        <v>207150914</v>
      </c>
      <c r="M12" s="18" t="n">
        <f aca="false">ROUND(F12*$B$3,0)</f>
        <v>1582246</v>
      </c>
      <c r="N12" s="18" t="n">
        <f aca="false">ROUND(G12*$B$3,0)</f>
        <v>30062679</v>
      </c>
      <c r="O12" s="18" t="n">
        <f aca="false">ROUND(H12*$B$3,0)</f>
        <v>81231</v>
      </c>
      <c r="P12" s="18" t="n">
        <f aca="false">ROUND(I12*$B$3,0)</f>
        <v>1543387</v>
      </c>
      <c r="Q12" s="18" t="n">
        <f aca="false">M12+N12</f>
        <v>31644925</v>
      </c>
      <c r="R12" s="18" t="n">
        <f aca="false">O12+P12</f>
        <v>1624618</v>
      </c>
      <c r="S12" s="18" t="n">
        <f aca="false">Q12+R12-K12</f>
        <v>1670251</v>
      </c>
      <c r="T12" s="18" t="n">
        <f aca="false">IF(C12="Net à payer","",L12-E12-K12-IF(C12="Contrat",J12,0))</f>
        <v>-9279171</v>
      </c>
    </row>
    <row r="13" customFormat="false" ht="15" hidden="false" customHeight="false" outlineLevel="0" collapsed="false">
      <c r="A13" s="14" t="n">
        <v>45366</v>
      </c>
      <c r="B13" s="15" t="s">
        <v>39</v>
      </c>
      <c r="C13" s="16" t="s">
        <v>40</v>
      </c>
      <c r="D13" s="15" t="s">
        <v>36</v>
      </c>
      <c r="E13" s="17" t="n">
        <v>36966159</v>
      </c>
      <c r="F13" s="17" t="n">
        <v>1758051</v>
      </c>
      <c r="G13" s="17" t="n">
        <v>33402977</v>
      </c>
      <c r="H13" s="17" t="n">
        <v>90257</v>
      </c>
      <c r="I13" s="17" t="n">
        <v>1714874</v>
      </c>
      <c r="J13" s="17" t="n">
        <v>0</v>
      </c>
      <c r="K13" s="17" t="n">
        <v>6653909</v>
      </c>
      <c r="L13" s="17" t="n">
        <v>43620067</v>
      </c>
      <c r="M13" s="18" t="n">
        <f aca="false">ROUND(F13*$B$3,0)</f>
        <v>316449</v>
      </c>
      <c r="N13" s="18" t="n">
        <f aca="false">ROUND(G13*$B$3,0)</f>
        <v>6012536</v>
      </c>
      <c r="O13" s="18" t="n">
        <f aca="false">ROUND(H13*$B$3,0)</f>
        <v>16246</v>
      </c>
      <c r="P13" s="18" t="n">
        <f aca="false">ROUND(I13*$B$3,0)</f>
        <v>308677</v>
      </c>
      <c r="Q13" s="18" t="n">
        <f aca="false">M13+N13</f>
        <v>6328985</v>
      </c>
      <c r="R13" s="18" t="n">
        <f aca="false">O13+P13</f>
        <v>324923</v>
      </c>
      <c r="S13" s="18" t="n">
        <f aca="false">Q13+R13-K13</f>
        <v>-1</v>
      </c>
      <c r="T13" s="18" t="n">
        <f aca="false">IF(C13="Net à payer","",L13-E13-K13-IF(C13="Contrat",J13,0))</f>
        <v>-1</v>
      </c>
    </row>
    <row r="14" customFormat="false" ht="15" hidden="false" customHeight="false" outlineLevel="0" collapsed="false">
      <c r="A14" s="19"/>
      <c r="B14" s="20" t="s">
        <v>41</v>
      </c>
      <c r="C14" s="21" t="s">
        <v>33</v>
      </c>
      <c r="D14" s="20"/>
      <c r="E14" s="22" t="n">
        <v>517526220</v>
      </c>
      <c r="F14" s="22" t="n">
        <v>24612720</v>
      </c>
      <c r="G14" s="22" t="n">
        <v>467641672</v>
      </c>
      <c r="H14" s="22" t="n">
        <v>1263591</v>
      </c>
      <c r="I14" s="22" t="n">
        <v>24008237</v>
      </c>
      <c r="J14" s="22" t="n">
        <v>0</v>
      </c>
      <c r="K14" s="22" t="n">
        <v>94824971</v>
      </c>
      <c r="L14" s="22" t="n">
        <v>621630362</v>
      </c>
      <c r="M14" s="23" t="n">
        <f aca="false">ROUND(F14*$B$3,0)</f>
        <v>4430290</v>
      </c>
      <c r="N14" s="23" t="n">
        <f aca="false">ROUND(G14*$B$3,0)</f>
        <v>84175501</v>
      </c>
      <c r="O14" s="23" t="n">
        <f aca="false">ROUND(H14*$B$3,0)</f>
        <v>227446</v>
      </c>
      <c r="P14" s="23" t="n">
        <f aca="false">ROUND(I14*$B$3,0)</f>
        <v>4321483</v>
      </c>
      <c r="Q14" s="23" t="n">
        <f aca="false">M14+N14</f>
        <v>88605791</v>
      </c>
      <c r="R14" s="23" t="n">
        <f aca="false">O14+P14</f>
        <v>4548929</v>
      </c>
      <c r="S14" s="23" t="n">
        <f aca="false">Q14+R14-K14</f>
        <v>-1670251</v>
      </c>
      <c r="T14" s="23" t="str">
        <f aca="false">IF(C14="Net à payer","",L14-E14-K14-IF(C14="Contrat",J14,0))</f>
        <v/>
      </c>
    </row>
    <row r="15" customFormat="false" ht="15" hidden="false" customHeight="false" outlineLevel="0" collapsed="false">
      <c r="A15" s="14" t="n">
        <v>45436</v>
      </c>
      <c r="B15" s="15" t="s">
        <v>42</v>
      </c>
      <c r="C15" s="16" t="s">
        <v>35</v>
      </c>
      <c r="D15" s="15" t="s">
        <v>43</v>
      </c>
      <c r="E15" s="17" t="n">
        <v>483038765</v>
      </c>
      <c r="F15" s="17" t="n">
        <v>22820412</v>
      </c>
      <c r="G15" s="17" t="n">
        <v>433587825</v>
      </c>
      <c r="H15" s="17" t="n">
        <v>1331526</v>
      </c>
      <c r="I15" s="17" t="n">
        <v>25299002</v>
      </c>
      <c r="J15" s="17" t="n">
        <v>0</v>
      </c>
      <c r="K15" s="17" t="n">
        <v>86946978</v>
      </c>
      <c r="L15" s="17" t="n">
        <v>569985743</v>
      </c>
      <c r="M15" s="18" t="n">
        <f aca="false">ROUND(F15*$B$3,0)</f>
        <v>4107674</v>
      </c>
      <c r="N15" s="18" t="n">
        <f aca="false">ROUND(G15*$B$3,0)</f>
        <v>78045809</v>
      </c>
      <c r="O15" s="18" t="n">
        <f aca="false">ROUND(H15*$B$3,0)</f>
        <v>239675</v>
      </c>
      <c r="P15" s="18" t="n">
        <f aca="false">ROUND(I15*$B$3,0)</f>
        <v>4553820</v>
      </c>
      <c r="Q15" s="18" t="n">
        <f aca="false">M15+N15</f>
        <v>82153483</v>
      </c>
      <c r="R15" s="18" t="n">
        <f aca="false">O15+P15</f>
        <v>4793495</v>
      </c>
      <c r="S15" s="18" t="n">
        <f aca="false">Q15+R15-K15</f>
        <v>0</v>
      </c>
      <c r="T15" s="18" t="n">
        <f aca="false">IF(C15="Net à payer","",L15-E15-K15-IF(C15="Contrat",J15,0))</f>
        <v>0</v>
      </c>
    </row>
    <row r="16" customFormat="false" ht="15" hidden="false" customHeight="false" outlineLevel="0" collapsed="false">
      <c r="A16" s="14" t="n">
        <v>45436</v>
      </c>
      <c r="B16" s="15" t="s">
        <v>44</v>
      </c>
      <c r="C16" s="16" t="s">
        <v>38</v>
      </c>
      <c r="D16" s="15" t="s">
        <v>43</v>
      </c>
      <c r="E16" s="17" t="n">
        <v>120759691</v>
      </c>
      <c r="F16" s="17" t="n">
        <v>5705103</v>
      </c>
      <c r="G16" s="17" t="n">
        <v>108396956</v>
      </c>
      <c r="H16" s="17" t="n">
        <v>332882</v>
      </c>
      <c r="I16" s="17" t="n">
        <v>6324750</v>
      </c>
      <c r="J16" s="17" t="n">
        <v>0</v>
      </c>
      <c r="K16" s="17" t="n">
        <v>21736744</v>
      </c>
      <c r="L16" s="17" t="n">
        <v>35624109</v>
      </c>
      <c r="M16" s="18" t="n">
        <f aca="false">ROUND(F16*$B$3,0)</f>
        <v>1026919</v>
      </c>
      <c r="N16" s="18" t="n">
        <f aca="false">ROUND(G16*$B$3,0)</f>
        <v>19511452</v>
      </c>
      <c r="O16" s="18" t="n">
        <f aca="false">ROUND(H16*$B$3,0)</f>
        <v>59919</v>
      </c>
      <c r="P16" s="18" t="n">
        <f aca="false">ROUND(I16*$B$3,0)</f>
        <v>1138455</v>
      </c>
      <c r="Q16" s="18" t="n">
        <f aca="false">M16+N16</f>
        <v>20538371</v>
      </c>
      <c r="R16" s="18" t="n">
        <f aca="false">O16+P16</f>
        <v>1198374</v>
      </c>
      <c r="S16" s="18" t="n">
        <f aca="false">Q16+R16-K16</f>
        <v>1</v>
      </c>
      <c r="T16" s="18" t="n">
        <f aca="false">IF(C16="Net à payer","",L16-E16-K16-IF(C16="Contrat",J16,0))</f>
        <v>-106872326</v>
      </c>
    </row>
    <row r="17" customFormat="false" ht="15" hidden="false" customHeight="false" outlineLevel="0" collapsed="false">
      <c r="A17" s="14" t="n">
        <v>45436</v>
      </c>
      <c r="B17" s="15" t="s">
        <v>45</v>
      </c>
      <c r="C17" s="16" t="s">
        <v>40</v>
      </c>
      <c r="D17" s="15" t="s">
        <v>43</v>
      </c>
      <c r="E17" s="17" t="n">
        <v>24151938</v>
      </c>
      <c r="F17" s="17" t="n">
        <v>1141021</v>
      </c>
      <c r="G17" s="17" t="n">
        <v>21679391</v>
      </c>
      <c r="H17" s="17" t="n">
        <v>66576</v>
      </c>
      <c r="I17" s="17" t="n">
        <v>1264950</v>
      </c>
      <c r="J17" s="17" t="n">
        <v>0</v>
      </c>
      <c r="K17" s="17" t="n">
        <v>4347349</v>
      </c>
      <c r="L17" s="17" t="n">
        <v>28499287</v>
      </c>
      <c r="M17" s="18" t="n">
        <f aca="false">ROUND(F17*$B$3,0)</f>
        <v>205384</v>
      </c>
      <c r="N17" s="18" t="n">
        <f aca="false">ROUND(G17*$B$3,0)</f>
        <v>3902290</v>
      </c>
      <c r="O17" s="18" t="n">
        <f aca="false">ROUND(H17*$B$3,0)</f>
        <v>11984</v>
      </c>
      <c r="P17" s="18" t="n">
        <f aca="false">ROUND(I17*$B$3,0)</f>
        <v>227691</v>
      </c>
      <c r="Q17" s="18" t="n">
        <f aca="false">M17+N17</f>
        <v>4107674</v>
      </c>
      <c r="R17" s="18" t="n">
        <f aca="false">O17+P17</f>
        <v>239675</v>
      </c>
      <c r="S17" s="18" t="n">
        <f aca="false">Q17+R17-K17</f>
        <v>0</v>
      </c>
      <c r="T17" s="18" t="n">
        <f aca="false">IF(C17="Net à payer","",L17-E17-K17-IF(C17="Contrat",J17,0))</f>
        <v>0</v>
      </c>
    </row>
    <row r="18" customFormat="false" ht="15" hidden="false" customHeight="false" outlineLevel="0" collapsed="false">
      <c r="A18" s="19"/>
      <c r="B18" s="20" t="s">
        <v>46</v>
      </c>
      <c r="C18" s="21" t="s">
        <v>33</v>
      </c>
      <c r="D18" s="20"/>
      <c r="E18" s="22" t="n">
        <v>338127136</v>
      </c>
      <c r="F18" s="22" t="n">
        <v>15974288</v>
      </c>
      <c r="G18" s="22" t="n">
        <v>303511478</v>
      </c>
      <c r="H18" s="22" t="n">
        <v>932068</v>
      </c>
      <c r="I18" s="22" t="n">
        <v>17709301</v>
      </c>
      <c r="J18" s="22" t="n">
        <v>0</v>
      </c>
      <c r="K18" s="22" t="n">
        <v>60862884</v>
      </c>
      <c r="L18" s="22" t="n">
        <v>398990020</v>
      </c>
      <c r="M18" s="23" t="n">
        <f aca="false">ROUND(F18*$B$3,0)</f>
        <v>2875372</v>
      </c>
      <c r="N18" s="23" t="n">
        <f aca="false">ROUND(G18*$B$3,0)</f>
        <v>54632066</v>
      </c>
      <c r="O18" s="23" t="n">
        <f aca="false">ROUND(H18*$B$3,0)</f>
        <v>167772</v>
      </c>
      <c r="P18" s="23" t="n">
        <f aca="false">ROUND(I18*$B$3,0)</f>
        <v>3187674</v>
      </c>
      <c r="Q18" s="23" t="n">
        <f aca="false">M18+N18</f>
        <v>57507438</v>
      </c>
      <c r="R18" s="23" t="n">
        <f aca="false">O18+P18</f>
        <v>3355446</v>
      </c>
      <c r="S18" s="23" t="n">
        <f aca="false">Q18+R18-K18</f>
        <v>0</v>
      </c>
      <c r="T18" s="23" t="str">
        <f aca="false">IF(C18="Net à payer","",L18-E18-K18-IF(C18="Contrat",J18,0))</f>
        <v/>
      </c>
    </row>
    <row r="19" customFormat="false" ht="15" hidden="false" customHeight="false" outlineLevel="0" collapsed="false">
      <c r="A19" s="14" t="n">
        <v>45467</v>
      </c>
      <c r="B19" s="15" t="s">
        <v>47</v>
      </c>
      <c r="C19" s="16" t="s">
        <v>35</v>
      </c>
      <c r="D19" s="15" t="s">
        <v>48</v>
      </c>
      <c r="E19" s="17" t="n">
        <v>693232949</v>
      </c>
      <c r="F19" s="17" t="n">
        <v>34413464</v>
      </c>
      <c r="G19" s="17" t="n">
        <v>653855815</v>
      </c>
      <c r="H19" s="17" t="n">
        <v>248184</v>
      </c>
      <c r="I19" s="17" t="n">
        <v>4715487</v>
      </c>
      <c r="J19" s="17" t="n">
        <v>0</v>
      </c>
      <c r="K19" s="17" t="n">
        <v>124781931</v>
      </c>
      <c r="L19" s="17" t="n">
        <v>818014880</v>
      </c>
      <c r="M19" s="18" t="n">
        <f aca="false">ROUND(F19*$B$3,0)</f>
        <v>6194424</v>
      </c>
      <c r="N19" s="18" t="n">
        <f aca="false">ROUND(G19*$B$3,0)</f>
        <v>117694047</v>
      </c>
      <c r="O19" s="18" t="n">
        <f aca="false">ROUND(H19*$B$3,0)</f>
        <v>44673</v>
      </c>
      <c r="P19" s="18" t="n">
        <f aca="false">ROUND(I19*$B$3,0)</f>
        <v>848788</v>
      </c>
      <c r="Q19" s="18" t="n">
        <f aca="false">M19+N19</f>
        <v>123888471</v>
      </c>
      <c r="R19" s="18" t="n">
        <f aca="false">O19+P19</f>
        <v>893461</v>
      </c>
      <c r="S19" s="18" t="n">
        <f aca="false">Q19+R19-K19</f>
        <v>1</v>
      </c>
      <c r="T19" s="18" t="n">
        <f aca="false">IF(C19="Net à payer","",L19-E19-K19-IF(C19="Contrat",J19,0))</f>
        <v>0</v>
      </c>
    </row>
    <row r="20" customFormat="false" ht="15" hidden="false" customHeight="false" outlineLevel="0" collapsed="false">
      <c r="A20" s="14" t="n">
        <v>45467</v>
      </c>
      <c r="B20" s="15" t="s">
        <v>49</v>
      </c>
      <c r="C20" s="16" t="s">
        <v>38</v>
      </c>
      <c r="D20" s="15" t="s">
        <v>48</v>
      </c>
      <c r="E20" s="17" t="n">
        <v>173308237</v>
      </c>
      <c r="F20" s="17" t="n">
        <v>8603366</v>
      </c>
      <c r="G20" s="17" t="n">
        <v>163463954</v>
      </c>
      <c r="H20" s="17" t="n">
        <v>62046</v>
      </c>
      <c r="I20" s="17" t="n">
        <v>1178872</v>
      </c>
      <c r="J20" s="17" t="n">
        <v>0</v>
      </c>
      <c r="K20" s="17" t="n">
        <v>31195483</v>
      </c>
      <c r="L20" s="17" t="n">
        <v>204503720</v>
      </c>
      <c r="M20" s="18" t="n">
        <f aca="false">ROUND(F20*$B$3,0)</f>
        <v>1548606</v>
      </c>
      <c r="N20" s="18" t="n">
        <f aca="false">ROUND(G20*$B$3,0)</f>
        <v>29423512</v>
      </c>
      <c r="O20" s="18" t="n">
        <f aca="false">ROUND(H20*$B$3,0)</f>
        <v>11168</v>
      </c>
      <c r="P20" s="18" t="n">
        <f aca="false">ROUND(I20*$B$3,0)</f>
        <v>212197</v>
      </c>
      <c r="Q20" s="18" t="n">
        <f aca="false">M20+N20</f>
        <v>30972118</v>
      </c>
      <c r="R20" s="18" t="n">
        <f aca="false">O20+P20</f>
        <v>223365</v>
      </c>
      <c r="S20" s="18" t="n">
        <f aca="false">Q20+R20-K20</f>
        <v>0</v>
      </c>
      <c r="T20" s="18" t="n">
        <f aca="false">IF(C20="Net à payer","",L20-E20-K20-IF(C20="Contrat",J20,0))</f>
        <v>0</v>
      </c>
    </row>
    <row r="21" customFormat="false" ht="15" hidden="false" customHeight="false" outlineLevel="0" collapsed="false">
      <c r="A21" s="14" t="n">
        <v>45467</v>
      </c>
      <c r="B21" s="15" t="s">
        <v>50</v>
      </c>
      <c r="C21" s="16" t="s">
        <v>40</v>
      </c>
      <c r="D21" s="15" t="s">
        <v>48</v>
      </c>
      <c r="E21" s="17" t="n">
        <v>34661647</v>
      </c>
      <c r="F21" s="17" t="n">
        <v>1720673</v>
      </c>
      <c r="G21" s="17" t="n">
        <v>32692791</v>
      </c>
      <c r="H21" s="17" t="n">
        <v>12409</v>
      </c>
      <c r="I21" s="17" t="n">
        <v>235774</v>
      </c>
      <c r="J21" s="17" t="n">
        <v>0</v>
      </c>
      <c r="K21" s="17" t="n">
        <v>6239097</v>
      </c>
      <c r="L21" s="17" t="n">
        <v>40900744</v>
      </c>
      <c r="M21" s="18" t="n">
        <f aca="false">ROUND(F21*$B$3,0)</f>
        <v>309721</v>
      </c>
      <c r="N21" s="18" t="n">
        <f aca="false">ROUND(G21*$B$3,0)</f>
        <v>5884702</v>
      </c>
      <c r="O21" s="18" t="n">
        <f aca="false">ROUND(H21*$B$3,0)</f>
        <v>2234</v>
      </c>
      <c r="P21" s="18" t="n">
        <f aca="false">ROUND(I21*$B$3,0)</f>
        <v>42439</v>
      </c>
      <c r="Q21" s="18" t="n">
        <f aca="false">M21+N21</f>
        <v>6194423</v>
      </c>
      <c r="R21" s="18" t="n">
        <f aca="false">O21+P21</f>
        <v>44673</v>
      </c>
      <c r="S21" s="18" t="n">
        <f aca="false">Q21+R21-K21</f>
        <v>-1</v>
      </c>
      <c r="T21" s="18" t="n">
        <f aca="false">IF(C21="Net à payer","",L21-E21-K21-IF(C21="Contrat",J21,0))</f>
        <v>0</v>
      </c>
    </row>
    <row r="22" customFormat="false" ht="15" hidden="false" customHeight="false" outlineLevel="0" collapsed="false">
      <c r="A22" s="19"/>
      <c r="B22" s="20" t="s">
        <v>51</v>
      </c>
      <c r="C22" s="21" t="s">
        <v>33</v>
      </c>
      <c r="D22" s="20"/>
      <c r="E22" s="22" t="n">
        <v>485263064</v>
      </c>
      <c r="F22" s="22" t="n">
        <v>24089425</v>
      </c>
      <c r="G22" s="22" t="n">
        <v>457699070</v>
      </c>
      <c r="H22" s="22" t="n">
        <v>173728</v>
      </c>
      <c r="I22" s="22" t="n">
        <v>3300841</v>
      </c>
      <c r="J22" s="22" t="n">
        <v>0</v>
      </c>
      <c r="K22" s="22" t="n">
        <v>87347352</v>
      </c>
      <c r="L22" s="22" t="n">
        <v>572610416</v>
      </c>
      <c r="M22" s="23" t="n">
        <f aca="false">ROUND(F22*$B$3,0)</f>
        <v>4336097</v>
      </c>
      <c r="N22" s="23" t="n">
        <f aca="false">ROUND(G22*$B$3,0)</f>
        <v>82385833</v>
      </c>
      <c r="O22" s="23" t="n">
        <f aca="false">ROUND(H22*$B$3,0)</f>
        <v>31271</v>
      </c>
      <c r="P22" s="23" t="n">
        <f aca="false">ROUND(I22*$B$3,0)</f>
        <v>594151</v>
      </c>
      <c r="Q22" s="23" t="n">
        <f aca="false">M22+N22</f>
        <v>86721930</v>
      </c>
      <c r="R22" s="23" t="n">
        <f aca="false">O22+P22</f>
        <v>625422</v>
      </c>
      <c r="S22" s="23" t="n">
        <f aca="false">Q22+R22-K22</f>
        <v>0</v>
      </c>
      <c r="T22" s="23" t="str">
        <f aca="false">IF(C22="Net à payer","",L22-E22-K22-IF(C22="Contrat",J22,0))</f>
        <v/>
      </c>
    </row>
    <row r="23" customFormat="false" ht="15" hidden="false" customHeight="false" outlineLevel="0" collapsed="false">
      <c r="A23" s="14" t="n">
        <v>45502</v>
      </c>
      <c r="B23" s="15" t="s">
        <v>52</v>
      </c>
      <c r="C23" s="16" t="s">
        <v>35</v>
      </c>
      <c r="D23" s="15" t="s">
        <v>53</v>
      </c>
      <c r="E23" s="17" t="n">
        <v>420602711</v>
      </c>
      <c r="F23" s="17" t="n">
        <v>20844783</v>
      </c>
      <c r="G23" s="17" t="n">
        <v>396050870</v>
      </c>
      <c r="H23" s="17" t="n">
        <v>185353</v>
      </c>
      <c r="I23" s="17" t="n">
        <v>3521705</v>
      </c>
      <c r="J23" s="17" t="n">
        <v>0</v>
      </c>
      <c r="K23" s="17" t="n">
        <v>75708488</v>
      </c>
      <c r="L23" s="17" t="n">
        <v>496311199</v>
      </c>
      <c r="M23" s="18" t="n">
        <f aca="false">ROUND(F23*$B$3,0)</f>
        <v>3752061</v>
      </c>
      <c r="N23" s="18" t="n">
        <f aca="false">ROUND(G23*$B$3,0)</f>
        <v>71289157</v>
      </c>
      <c r="O23" s="18" t="n">
        <f aca="false">ROUND(H23*$B$3,0)</f>
        <v>33364</v>
      </c>
      <c r="P23" s="18" t="n">
        <f aca="false">ROUND(I23*$B$3,0)</f>
        <v>633907</v>
      </c>
      <c r="Q23" s="18" t="n">
        <f aca="false">M23+N23</f>
        <v>75041218</v>
      </c>
      <c r="R23" s="18" t="n">
        <f aca="false">O23+P23</f>
        <v>667271</v>
      </c>
      <c r="S23" s="18" t="n">
        <f aca="false">Q23+R23-K23</f>
        <v>1</v>
      </c>
      <c r="T23" s="18" t="n">
        <f aca="false">IF(C23="Net à payer","",L23-E23-K23-IF(C23="Contrat",J23,0))</f>
        <v>0</v>
      </c>
    </row>
    <row r="24" customFormat="false" ht="15" hidden="false" customHeight="false" outlineLevel="0" collapsed="false">
      <c r="A24" s="14" t="n">
        <v>45502</v>
      </c>
      <c r="B24" s="15" t="s">
        <v>54</v>
      </c>
      <c r="C24" s="16" t="s">
        <v>38</v>
      </c>
      <c r="D24" s="15" t="s">
        <v>53</v>
      </c>
      <c r="E24" s="17" t="n">
        <v>105150678</v>
      </c>
      <c r="F24" s="17" t="n">
        <v>5211196</v>
      </c>
      <c r="G24" s="17" t="n">
        <v>99012718</v>
      </c>
      <c r="H24" s="17" t="n">
        <v>46338</v>
      </c>
      <c r="I24" s="17" t="n">
        <v>880426</v>
      </c>
      <c r="J24" s="17" t="n">
        <v>0</v>
      </c>
      <c r="K24" s="17" t="n">
        <v>18927122</v>
      </c>
      <c r="L24" s="17" t="n">
        <v>124077800</v>
      </c>
      <c r="M24" s="18" t="n">
        <f aca="false">ROUND(F24*$B$3,0)</f>
        <v>938015</v>
      </c>
      <c r="N24" s="18" t="n">
        <f aca="false">ROUND(G24*$B$3,0)</f>
        <v>17822289</v>
      </c>
      <c r="O24" s="18" t="n">
        <f aca="false">ROUND(H24*$B$3,0)</f>
        <v>8341</v>
      </c>
      <c r="P24" s="18" t="n">
        <f aca="false">ROUND(I24*$B$3,0)</f>
        <v>158477</v>
      </c>
      <c r="Q24" s="18" t="n">
        <f aca="false">M24+N24</f>
        <v>18760304</v>
      </c>
      <c r="R24" s="18" t="n">
        <f aca="false">O24+P24</f>
        <v>166818</v>
      </c>
      <c r="S24" s="18" t="n">
        <f aca="false">Q24+R24-K24</f>
        <v>0</v>
      </c>
      <c r="T24" s="18" t="n">
        <f aca="false">IF(C24="Net à payer","",L24-E24-K24-IF(C24="Contrat",J24,0))</f>
        <v>0</v>
      </c>
    </row>
    <row r="25" customFormat="false" ht="15" hidden="false" customHeight="false" outlineLevel="0" collapsed="false">
      <c r="A25" s="14" t="n">
        <v>45502</v>
      </c>
      <c r="B25" s="15" t="s">
        <v>55</v>
      </c>
      <c r="C25" s="16" t="s">
        <v>40</v>
      </c>
      <c r="D25" s="15" t="s">
        <v>53</v>
      </c>
      <c r="E25" s="17" t="n">
        <v>21030136</v>
      </c>
      <c r="F25" s="17" t="n">
        <v>1042239</v>
      </c>
      <c r="G25" s="17" t="n">
        <v>19802544</v>
      </c>
      <c r="H25" s="17" t="n">
        <v>9268</v>
      </c>
      <c r="I25" s="17" t="n">
        <v>176085</v>
      </c>
      <c r="J25" s="17" t="n">
        <v>0</v>
      </c>
      <c r="K25" s="17" t="n">
        <v>3785424</v>
      </c>
      <c r="L25" s="17" t="n">
        <v>24815560</v>
      </c>
      <c r="M25" s="18" t="n">
        <f aca="false">ROUND(F25*$B$3,0)</f>
        <v>187603</v>
      </c>
      <c r="N25" s="18" t="n">
        <f aca="false">ROUND(G25*$B$3,0)</f>
        <v>3564458</v>
      </c>
      <c r="O25" s="18" t="n">
        <f aca="false">ROUND(H25*$B$3,0)</f>
        <v>1668</v>
      </c>
      <c r="P25" s="18" t="n">
        <f aca="false">ROUND(I25*$B$3,0)</f>
        <v>31695</v>
      </c>
      <c r="Q25" s="18" t="n">
        <f aca="false">M25+N25</f>
        <v>3752061</v>
      </c>
      <c r="R25" s="18" t="n">
        <f aca="false">O25+P25</f>
        <v>33363</v>
      </c>
      <c r="S25" s="18" t="n">
        <f aca="false">Q25+R25-K25</f>
        <v>0</v>
      </c>
      <c r="T25" s="18" t="n">
        <f aca="false">IF(C25="Net à payer","",L25-E25-K25-IF(C25="Contrat",J25,0))</f>
        <v>0</v>
      </c>
    </row>
    <row r="26" customFormat="false" ht="15" hidden="false" customHeight="false" outlineLevel="0" collapsed="false">
      <c r="A26" s="19"/>
      <c r="B26" s="20" t="s">
        <v>56</v>
      </c>
      <c r="C26" s="21" t="s">
        <v>33</v>
      </c>
      <c r="D26" s="20"/>
      <c r="E26" s="22" t="n">
        <v>294421898</v>
      </c>
      <c r="F26" s="22" t="n">
        <v>14591348</v>
      </c>
      <c r="G26" s="22" t="n">
        <v>277235609</v>
      </c>
      <c r="H26" s="22" t="n">
        <v>129747</v>
      </c>
      <c r="I26" s="22" t="n">
        <v>2465194</v>
      </c>
      <c r="J26" s="22" t="n">
        <v>0</v>
      </c>
      <c r="K26" s="22" t="n">
        <v>52995942</v>
      </c>
      <c r="L26" s="22" t="n">
        <v>347417839</v>
      </c>
      <c r="M26" s="23" t="n">
        <f aca="false">ROUND(F26*$B$3,0)</f>
        <v>2626443</v>
      </c>
      <c r="N26" s="23" t="n">
        <f aca="false">ROUND(G26*$B$3,0)</f>
        <v>49902410</v>
      </c>
      <c r="O26" s="23" t="n">
        <f aca="false">ROUND(H26*$B$3,0)</f>
        <v>23354</v>
      </c>
      <c r="P26" s="23" t="n">
        <f aca="false">ROUND(I26*$B$3,0)</f>
        <v>443735</v>
      </c>
      <c r="Q26" s="23" t="n">
        <f aca="false">M26+N26</f>
        <v>52528853</v>
      </c>
      <c r="R26" s="23" t="n">
        <f aca="false">O26+P26</f>
        <v>467089</v>
      </c>
      <c r="S26" s="23" t="n">
        <f aca="false">Q26+R26-K26</f>
        <v>0</v>
      </c>
      <c r="T26" s="23" t="str">
        <f aca="false">IF(C26="Net à payer","",L26-E26-K26-IF(C26="Contrat",J26,0))</f>
        <v/>
      </c>
    </row>
    <row r="27" customFormat="false" ht="15" hidden="false" customHeight="false" outlineLevel="0" collapsed="false">
      <c r="A27" s="14" t="n">
        <v>45534</v>
      </c>
      <c r="B27" s="15" t="s">
        <v>57</v>
      </c>
      <c r="C27" s="16" t="s">
        <v>35</v>
      </c>
      <c r="D27" s="15" t="s">
        <v>58</v>
      </c>
      <c r="E27" s="17" t="n">
        <v>508529872</v>
      </c>
      <c r="F27" s="17" t="n">
        <v>24309708</v>
      </c>
      <c r="G27" s="17" t="n">
        <v>461884456</v>
      </c>
      <c r="H27" s="17" t="n">
        <v>1116785</v>
      </c>
      <c r="I27" s="17" t="n">
        <v>21218923</v>
      </c>
      <c r="J27" s="17" t="n">
        <v>0</v>
      </c>
      <c r="K27" s="17" t="n">
        <v>91535377</v>
      </c>
      <c r="L27" s="17" t="n">
        <v>600065249</v>
      </c>
      <c r="M27" s="18" t="n">
        <f aca="false">ROUND(F27*$B$3,0)</f>
        <v>4375747</v>
      </c>
      <c r="N27" s="18" t="n">
        <f aca="false">ROUND(G27*$B$3,0)</f>
        <v>83139202</v>
      </c>
      <c r="O27" s="18" t="n">
        <f aca="false">ROUND(H27*$B$3,0)</f>
        <v>201021</v>
      </c>
      <c r="P27" s="18" t="n">
        <f aca="false">ROUND(I27*$B$3,0)</f>
        <v>3819406</v>
      </c>
      <c r="Q27" s="18" t="n">
        <f aca="false">M27+N27</f>
        <v>87514949</v>
      </c>
      <c r="R27" s="18" t="n">
        <f aca="false">O27+P27</f>
        <v>4020427</v>
      </c>
      <c r="S27" s="18" t="n">
        <f aca="false">Q27+R27-K27</f>
        <v>-1</v>
      </c>
      <c r="T27" s="18" t="n">
        <f aca="false">IF(C27="Net à payer","",L27-E27-K27-IF(C27="Contrat",J27,0))</f>
        <v>0</v>
      </c>
    </row>
    <row r="28" customFormat="false" ht="15" hidden="false" customHeight="false" outlineLevel="0" collapsed="false">
      <c r="A28" s="14" t="n">
        <v>45534</v>
      </c>
      <c r="B28" s="15" t="s">
        <v>59</v>
      </c>
      <c r="C28" s="16" t="s">
        <v>38</v>
      </c>
      <c r="D28" s="15" t="s">
        <v>58</v>
      </c>
      <c r="E28" s="17" t="n">
        <v>127132468</v>
      </c>
      <c r="F28" s="17" t="n">
        <v>6077427</v>
      </c>
      <c r="G28" s="17" t="n">
        <v>115471114</v>
      </c>
      <c r="H28" s="17" t="n">
        <v>279196</v>
      </c>
      <c r="I28" s="17" t="n">
        <v>5304731</v>
      </c>
      <c r="J28" s="17" t="n">
        <v>0</v>
      </c>
      <c r="K28" s="17" t="n">
        <v>22883844</v>
      </c>
      <c r="L28" s="17" t="n">
        <v>150016312</v>
      </c>
      <c r="M28" s="18" t="n">
        <f aca="false">ROUND(F28*$B$3,0)</f>
        <v>1093937</v>
      </c>
      <c r="N28" s="18" t="n">
        <f aca="false">ROUND(G28*$B$3,0)</f>
        <v>20784801</v>
      </c>
      <c r="O28" s="18" t="n">
        <f aca="false">ROUND(H28*$B$3,0)</f>
        <v>50255</v>
      </c>
      <c r="P28" s="18" t="n">
        <f aca="false">ROUND(I28*$B$3,0)</f>
        <v>954852</v>
      </c>
      <c r="Q28" s="18" t="n">
        <f aca="false">M28+N28</f>
        <v>21878738</v>
      </c>
      <c r="R28" s="18" t="n">
        <f aca="false">O28+P28</f>
        <v>1005107</v>
      </c>
      <c r="S28" s="18" t="n">
        <f aca="false">Q28+R28-K28</f>
        <v>1</v>
      </c>
      <c r="T28" s="18" t="n">
        <f aca="false">IF(C28="Net à payer","",L28-E28-K28-IF(C28="Contrat",J28,0))</f>
        <v>0</v>
      </c>
    </row>
    <row r="29" customFormat="false" ht="15" hidden="false" customHeight="false" outlineLevel="0" collapsed="false">
      <c r="A29" s="14" t="n">
        <v>45534</v>
      </c>
      <c r="B29" s="15" t="s">
        <v>60</v>
      </c>
      <c r="C29" s="16" t="s">
        <v>40</v>
      </c>
      <c r="D29" s="15" t="s">
        <v>58</v>
      </c>
      <c r="E29" s="17" t="n">
        <v>25426494</v>
      </c>
      <c r="F29" s="17" t="n">
        <v>1215485</v>
      </c>
      <c r="G29" s="17" t="n">
        <v>23094223</v>
      </c>
      <c r="H29" s="17" t="n">
        <v>55839</v>
      </c>
      <c r="I29" s="17" t="n">
        <v>1060946</v>
      </c>
      <c r="J29" s="17" t="n">
        <v>0</v>
      </c>
      <c r="K29" s="17" t="n">
        <v>4576769</v>
      </c>
      <c r="L29" s="17" t="n">
        <v>30003262</v>
      </c>
      <c r="M29" s="18" t="n">
        <f aca="false">ROUND(F29*$B$3,0)</f>
        <v>218787</v>
      </c>
      <c r="N29" s="18" t="n">
        <f aca="false">ROUND(G29*$B$3,0)</f>
        <v>4156960</v>
      </c>
      <c r="O29" s="18" t="n">
        <f aca="false">ROUND(H29*$B$3,0)</f>
        <v>10051</v>
      </c>
      <c r="P29" s="18" t="n">
        <f aca="false">ROUND(I29*$B$3,0)</f>
        <v>190970</v>
      </c>
      <c r="Q29" s="18" t="n">
        <f aca="false">M29+N29</f>
        <v>4375747</v>
      </c>
      <c r="R29" s="18" t="n">
        <f aca="false">O29+P29</f>
        <v>201021</v>
      </c>
      <c r="S29" s="18" t="n">
        <f aca="false">Q29+R29-K29</f>
        <v>-1</v>
      </c>
      <c r="T29" s="18" t="n">
        <f aca="false">IF(C29="Net à payer","",L29-E29-K29-IF(C29="Contrat",J29,0))</f>
        <v>-1</v>
      </c>
    </row>
    <row r="30" customFormat="false" ht="15" hidden="false" customHeight="false" outlineLevel="0" collapsed="false">
      <c r="A30" s="19"/>
      <c r="B30" s="20" t="s">
        <v>61</v>
      </c>
      <c r="C30" s="21" t="s">
        <v>33</v>
      </c>
      <c r="D30" s="20"/>
      <c r="E30" s="22" t="n">
        <v>355970910</v>
      </c>
      <c r="F30" s="22" t="n">
        <v>17016796</v>
      </c>
      <c r="G30" s="22" t="n">
        <v>323319119</v>
      </c>
      <c r="H30" s="22" t="n">
        <v>781750</v>
      </c>
      <c r="I30" s="22" t="n">
        <v>14853246</v>
      </c>
      <c r="J30" s="22" t="n">
        <v>0</v>
      </c>
      <c r="K30" s="22" t="n">
        <v>64074764</v>
      </c>
      <c r="L30" s="22" t="n">
        <v>420045674</v>
      </c>
      <c r="M30" s="23" t="n">
        <f aca="false">ROUND(F30*$B$3,0)</f>
        <v>3063023</v>
      </c>
      <c r="N30" s="23" t="n">
        <f aca="false">ROUND(G30*$B$3,0)</f>
        <v>58197441</v>
      </c>
      <c r="O30" s="23" t="n">
        <f aca="false">ROUND(H30*$B$3,0)</f>
        <v>140715</v>
      </c>
      <c r="P30" s="23" t="n">
        <f aca="false">ROUND(I30*$B$3,0)</f>
        <v>2673584</v>
      </c>
      <c r="Q30" s="23" t="n">
        <f aca="false">M30+N30</f>
        <v>61260464</v>
      </c>
      <c r="R30" s="23" t="n">
        <f aca="false">O30+P30</f>
        <v>2814299</v>
      </c>
      <c r="S30" s="23" t="n">
        <f aca="false">Q30+R30-K30</f>
        <v>-1</v>
      </c>
      <c r="T30" s="23" t="str">
        <f aca="false">IF(C30="Net à payer","",L30-E30-K30-IF(C30="Contrat",J30,0))</f>
        <v/>
      </c>
    </row>
    <row r="31" customFormat="false" ht="15" hidden="false" customHeight="false" outlineLevel="0" collapsed="false">
      <c r="A31" s="14" t="n">
        <v>45595</v>
      </c>
      <c r="B31" s="15" t="s">
        <v>62</v>
      </c>
      <c r="C31" s="16" t="s">
        <v>35</v>
      </c>
      <c r="D31" s="15" t="s">
        <v>63</v>
      </c>
      <c r="E31" s="17" t="n">
        <v>676686959</v>
      </c>
      <c r="F31" s="17" t="n">
        <v>33402436</v>
      </c>
      <c r="G31" s="17" t="n">
        <v>634646290</v>
      </c>
      <c r="H31" s="17" t="n">
        <v>431912</v>
      </c>
      <c r="I31" s="17" t="n">
        <v>8206321</v>
      </c>
      <c r="J31" s="17" t="n">
        <v>0</v>
      </c>
      <c r="K31" s="17" t="n">
        <v>121803653</v>
      </c>
      <c r="L31" s="17" t="n">
        <v>798490612</v>
      </c>
      <c r="M31" s="18" t="n">
        <f aca="false">ROUND(F31*$B$3,0)</f>
        <v>6012438</v>
      </c>
      <c r="N31" s="18" t="n">
        <f aca="false">ROUND(G31*$B$3,0)</f>
        <v>114236332</v>
      </c>
      <c r="O31" s="18" t="n">
        <f aca="false">ROUND(H31*$B$3,0)</f>
        <v>77744</v>
      </c>
      <c r="P31" s="18" t="n">
        <f aca="false">ROUND(I31*$B$3,0)</f>
        <v>1477138</v>
      </c>
      <c r="Q31" s="18" t="n">
        <f aca="false">M31+N31</f>
        <v>120248770</v>
      </c>
      <c r="R31" s="18" t="n">
        <f aca="false">O31+P31</f>
        <v>1554882</v>
      </c>
      <c r="S31" s="18" t="n">
        <f aca="false">Q31+R31-K31</f>
        <v>-1</v>
      </c>
      <c r="T31" s="18" t="n">
        <f aca="false">IF(C31="Net à payer","",L31-E31-K31-IF(C31="Contrat",J31,0))</f>
        <v>0</v>
      </c>
    </row>
    <row r="32" customFormat="false" ht="15" hidden="false" customHeight="false" outlineLevel="0" collapsed="false">
      <c r="A32" s="14" t="n">
        <v>45595</v>
      </c>
      <c r="B32" s="15" t="s">
        <v>64</v>
      </c>
      <c r="C32" s="16" t="s">
        <v>38</v>
      </c>
      <c r="D32" s="15" t="s">
        <v>63</v>
      </c>
      <c r="E32" s="17" t="n">
        <v>169171740</v>
      </c>
      <c r="F32" s="17" t="n">
        <v>8350609</v>
      </c>
      <c r="G32" s="17" t="n">
        <v>158661572</v>
      </c>
      <c r="H32" s="17" t="n">
        <v>107978</v>
      </c>
      <c r="I32" s="17" t="n">
        <v>2051580</v>
      </c>
      <c r="J32" s="17" t="n">
        <v>0</v>
      </c>
      <c r="K32" s="17" t="n">
        <v>30450913</v>
      </c>
      <c r="L32" s="17" t="n">
        <v>199622653</v>
      </c>
      <c r="M32" s="18" t="n">
        <f aca="false">ROUND(F32*$B$3,0)</f>
        <v>1503110</v>
      </c>
      <c r="N32" s="18" t="n">
        <f aca="false">ROUND(G32*$B$3,0)</f>
        <v>28559083</v>
      </c>
      <c r="O32" s="18" t="n">
        <f aca="false">ROUND(H32*$B$3,0)</f>
        <v>19436</v>
      </c>
      <c r="P32" s="18" t="n">
        <f aca="false">ROUND(I32*$B$3,0)</f>
        <v>369284</v>
      </c>
      <c r="Q32" s="18" t="n">
        <f aca="false">M32+N32</f>
        <v>30062193</v>
      </c>
      <c r="R32" s="18" t="n">
        <f aca="false">O32+P32</f>
        <v>388720</v>
      </c>
      <c r="S32" s="18" t="n">
        <f aca="false">Q32+R32-K32</f>
        <v>0</v>
      </c>
      <c r="T32" s="18" t="n">
        <f aca="false">IF(C32="Net à payer","",L32-E32-K32-IF(C32="Contrat",J32,0))</f>
        <v>0</v>
      </c>
    </row>
    <row r="33" customFormat="false" ht="15" hidden="false" customHeight="false" outlineLevel="0" collapsed="false">
      <c r="A33" s="14" t="n">
        <v>45595</v>
      </c>
      <c r="B33" s="15" t="s">
        <v>65</v>
      </c>
      <c r="C33" s="16" t="s">
        <v>40</v>
      </c>
      <c r="D33" s="15" t="s">
        <v>63</v>
      </c>
      <c r="E33" s="17" t="n">
        <v>33834348</v>
      </c>
      <c r="F33" s="17" t="n">
        <v>1670122</v>
      </c>
      <c r="G33" s="17" t="n">
        <v>31732314</v>
      </c>
      <c r="H33" s="17" t="n">
        <v>21596</v>
      </c>
      <c r="I33" s="17" t="n">
        <v>410316</v>
      </c>
      <c r="J33" s="17" t="n">
        <v>0</v>
      </c>
      <c r="K33" s="17" t="n">
        <v>6090183</v>
      </c>
      <c r="L33" s="17" t="n">
        <v>39924531</v>
      </c>
      <c r="M33" s="18" t="n">
        <f aca="false">ROUND(F33*$B$3,0)</f>
        <v>300622</v>
      </c>
      <c r="N33" s="18" t="n">
        <f aca="false">ROUND(G33*$B$3,0)</f>
        <v>5711817</v>
      </c>
      <c r="O33" s="18" t="n">
        <f aca="false">ROUND(H33*$B$3,0)</f>
        <v>3887</v>
      </c>
      <c r="P33" s="18" t="n">
        <f aca="false">ROUND(I33*$B$3,0)</f>
        <v>73857</v>
      </c>
      <c r="Q33" s="18" t="n">
        <f aca="false">M33+N33</f>
        <v>6012439</v>
      </c>
      <c r="R33" s="18" t="n">
        <f aca="false">O33+P33</f>
        <v>77744</v>
      </c>
      <c r="S33" s="18" t="n">
        <f aca="false">Q33+R33-K33</f>
        <v>0</v>
      </c>
      <c r="T33" s="18" t="n">
        <f aca="false">IF(C33="Net à payer","",L33-E33-K33-IF(C33="Contrat",J33,0))</f>
        <v>0</v>
      </c>
    </row>
    <row r="34" customFormat="false" ht="15" hidden="false" customHeight="false" outlineLevel="0" collapsed="false">
      <c r="A34" s="19"/>
      <c r="B34" s="20" t="s">
        <v>66</v>
      </c>
      <c r="C34" s="21" t="s">
        <v>33</v>
      </c>
      <c r="D34" s="20"/>
      <c r="E34" s="22" t="n">
        <v>473680871</v>
      </c>
      <c r="F34" s="22" t="n">
        <v>23381705</v>
      </c>
      <c r="G34" s="22" t="n">
        <v>444252403</v>
      </c>
      <c r="H34" s="22" t="n">
        <v>302338</v>
      </c>
      <c r="I34" s="22" t="n">
        <v>5744425</v>
      </c>
      <c r="J34" s="22" t="n">
        <v>0</v>
      </c>
      <c r="K34" s="22" t="n">
        <v>85262557</v>
      </c>
      <c r="L34" s="22" t="n">
        <v>558943428</v>
      </c>
      <c r="M34" s="23" t="n">
        <f aca="false">ROUND(F34*$B$3,0)</f>
        <v>4208707</v>
      </c>
      <c r="N34" s="23" t="n">
        <f aca="false">ROUND(G34*$B$3,0)</f>
        <v>79965433</v>
      </c>
      <c r="O34" s="23" t="n">
        <f aca="false">ROUND(H34*$B$3,0)</f>
        <v>54421</v>
      </c>
      <c r="P34" s="23" t="n">
        <f aca="false">ROUND(I34*$B$3,0)</f>
        <v>1033997</v>
      </c>
      <c r="Q34" s="23" t="n">
        <f aca="false">M34+N34</f>
        <v>84174140</v>
      </c>
      <c r="R34" s="23" t="n">
        <f aca="false">O34+P34</f>
        <v>1088418</v>
      </c>
      <c r="S34" s="23" t="n">
        <f aca="false">Q34+R34-K34</f>
        <v>1</v>
      </c>
      <c r="T34" s="23" t="str">
        <f aca="false">IF(C34="Net à payer","",L34-E34-K34-IF(C34="Contrat",J34,0))</f>
        <v/>
      </c>
    </row>
    <row r="35" customFormat="false" ht="15" hidden="false" customHeight="false" outlineLevel="0" collapsed="false">
      <c r="A35" s="14" t="n">
        <v>45610</v>
      </c>
      <c r="B35" s="15" t="s">
        <v>67</v>
      </c>
      <c r="C35" s="16" t="s">
        <v>35</v>
      </c>
      <c r="D35" s="15" t="s">
        <v>68</v>
      </c>
      <c r="E35" s="17" t="n">
        <v>643846121</v>
      </c>
      <c r="F35" s="17" t="n">
        <v>30992978</v>
      </c>
      <c r="G35" s="17" t="n">
        <v>588866573</v>
      </c>
      <c r="H35" s="17" t="n">
        <v>1199329</v>
      </c>
      <c r="I35" s="17" t="n">
        <v>22787242</v>
      </c>
      <c r="J35" s="17" t="n">
        <v>0</v>
      </c>
      <c r="K35" s="17" t="n">
        <v>115892302</v>
      </c>
      <c r="L35" s="17" t="n">
        <v>759738423</v>
      </c>
      <c r="M35" s="18" t="n">
        <f aca="false">ROUND(F35*$B$3,0)</f>
        <v>5578736</v>
      </c>
      <c r="N35" s="18" t="n">
        <f aca="false">ROUND(G35*$B$3,0)</f>
        <v>105995983</v>
      </c>
      <c r="O35" s="18" t="n">
        <f aca="false">ROUND(H35*$B$3,0)</f>
        <v>215879</v>
      </c>
      <c r="P35" s="18" t="n">
        <f aca="false">ROUND(I35*$B$3,0)</f>
        <v>4101704</v>
      </c>
      <c r="Q35" s="18" t="n">
        <f aca="false">M35+N35</f>
        <v>111574719</v>
      </c>
      <c r="R35" s="18" t="n">
        <f aca="false">O35+P35</f>
        <v>4317583</v>
      </c>
      <c r="S35" s="18" t="n">
        <f aca="false">Q35+R35-K35</f>
        <v>0</v>
      </c>
      <c r="T35" s="18" t="n">
        <f aca="false">IF(C35="Net à payer","",L35-E35-K35-IF(C35="Contrat",J35,0))</f>
        <v>0</v>
      </c>
    </row>
    <row r="36" customFormat="false" ht="15" hidden="false" customHeight="false" outlineLevel="0" collapsed="false">
      <c r="A36" s="14" t="n">
        <v>45610</v>
      </c>
      <c r="B36" s="15" t="s">
        <v>69</v>
      </c>
      <c r="C36" s="16" t="s">
        <v>38</v>
      </c>
      <c r="D36" s="15" t="s">
        <v>68</v>
      </c>
      <c r="E36" s="17" t="n">
        <v>160961530</v>
      </c>
      <c r="F36" s="17" t="n">
        <v>7748244</v>
      </c>
      <c r="G36" s="17" t="n">
        <v>147216643</v>
      </c>
      <c r="H36" s="17" t="n">
        <v>299832</v>
      </c>
      <c r="I36" s="17" t="n">
        <v>5696810</v>
      </c>
      <c r="J36" s="17" t="n">
        <v>0</v>
      </c>
      <c r="K36" s="17" t="n">
        <v>28973075</v>
      </c>
      <c r="L36" s="17" t="n">
        <v>189934606</v>
      </c>
      <c r="M36" s="18" t="n">
        <f aca="false">ROUND(F36*$B$3,0)</f>
        <v>1394684</v>
      </c>
      <c r="N36" s="18" t="n">
        <f aca="false">ROUND(G36*$B$3,0)</f>
        <v>26498996</v>
      </c>
      <c r="O36" s="18" t="n">
        <f aca="false">ROUND(H36*$B$3,0)</f>
        <v>53970</v>
      </c>
      <c r="P36" s="18" t="n">
        <f aca="false">ROUND(I36*$B$3,0)</f>
        <v>1025426</v>
      </c>
      <c r="Q36" s="18" t="n">
        <f aca="false">M36+N36</f>
        <v>27893680</v>
      </c>
      <c r="R36" s="18" t="n">
        <f aca="false">O36+P36</f>
        <v>1079396</v>
      </c>
      <c r="S36" s="18" t="n">
        <f aca="false">Q36+R36-K36</f>
        <v>1</v>
      </c>
      <c r="T36" s="18" t="n">
        <f aca="false">IF(C36="Net à payer","",L36-E36-K36-IF(C36="Contrat",J36,0))</f>
        <v>1</v>
      </c>
    </row>
    <row r="37" customFormat="false" ht="15" hidden="false" customHeight="false" outlineLevel="0" collapsed="false">
      <c r="A37" s="14" t="n">
        <v>45610</v>
      </c>
      <c r="B37" s="15" t="s">
        <v>70</v>
      </c>
      <c r="C37" s="16" t="s">
        <v>40</v>
      </c>
      <c r="D37" s="15" t="s">
        <v>68</v>
      </c>
      <c r="E37" s="17" t="n">
        <v>32192306</v>
      </c>
      <c r="F37" s="17" t="n">
        <v>1549649</v>
      </c>
      <c r="G37" s="17" t="n">
        <v>29443329</v>
      </c>
      <c r="H37" s="17" t="n">
        <v>59966</v>
      </c>
      <c r="I37" s="17" t="n">
        <v>1139362</v>
      </c>
      <c r="J37" s="17" t="n">
        <v>0</v>
      </c>
      <c r="K37" s="17" t="n">
        <v>5794615</v>
      </c>
      <c r="L37" s="17" t="n">
        <v>37986921</v>
      </c>
      <c r="M37" s="18" t="n">
        <f aca="false">ROUND(F37*$B$3,0)</f>
        <v>278937</v>
      </c>
      <c r="N37" s="18" t="n">
        <f aca="false">ROUND(G37*$B$3,0)</f>
        <v>5299799</v>
      </c>
      <c r="O37" s="18" t="n">
        <f aca="false">ROUND(H37*$B$3,0)</f>
        <v>10794</v>
      </c>
      <c r="P37" s="18" t="n">
        <f aca="false">ROUND(I37*$B$3,0)</f>
        <v>205085</v>
      </c>
      <c r="Q37" s="18" t="n">
        <f aca="false">M37+N37</f>
        <v>5578736</v>
      </c>
      <c r="R37" s="18" t="n">
        <f aca="false">O37+P37</f>
        <v>215879</v>
      </c>
      <c r="S37" s="18" t="n">
        <f aca="false">Q37+R37-K37</f>
        <v>0</v>
      </c>
      <c r="T37" s="18" t="n">
        <f aca="false">IF(C37="Net à payer","",L37-E37-K37-IF(C37="Contrat",J37,0))</f>
        <v>0</v>
      </c>
    </row>
    <row r="38" customFormat="false" ht="15" hidden="false" customHeight="false" outlineLevel="0" collapsed="false">
      <c r="A38" s="19"/>
      <c r="B38" s="20" t="s">
        <v>71</v>
      </c>
      <c r="C38" s="21" t="s">
        <v>33</v>
      </c>
      <c r="D38" s="20"/>
      <c r="E38" s="22" t="n">
        <v>450692285</v>
      </c>
      <c r="F38" s="22" t="n">
        <v>21695084</v>
      </c>
      <c r="G38" s="22" t="n">
        <v>412206601</v>
      </c>
      <c r="H38" s="22" t="n">
        <v>839530</v>
      </c>
      <c r="I38" s="22" t="n">
        <v>15951069</v>
      </c>
      <c r="J38" s="22" t="n">
        <v>0</v>
      </c>
      <c r="K38" s="22" t="n">
        <v>81124611</v>
      </c>
      <c r="L38" s="22" t="n">
        <v>531816896</v>
      </c>
      <c r="M38" s="23" t="n">
        <f aca="false">ROUND(F38*$B$3,0)</f>
        <v>3905115</v>
      </c>
      <c r="N38" s="23" t="n">
        <f aca="false">ROUND(G38*$B$3,0)</f>
        <v>74197188</v>
      </c>
      <c r="O38" s="23" t="n">
        <f aca="false">ROUND(H38*$B$3,0)</f>
        <v>151115</v>
      </c>
      <c r="P38" s="23" t="n">
        <f aca="false">ROUND(I38*$B$3,0)</f>
        <v>2871192</v>
      </c>
      <c r="Q38" s="23" t="n">
        <f aca="false">M38+N38</f>
        <v>78102303</v>
      </c>
      <c r="R38" s="23" t="n">
        <f aca="false">O38+P38</f>
        <v>3022307</v>
      </c>
      <c r="S38" s="23" t="n">
        <f aca="false">Q38+R38-K38</f>
        <v>-1</v>
      </c>
      <c r="T38" s="23" t="str">
        <f aca="false">IF(C38="Net à payer","",L38-E38-K38-IF(C38="Contrat",J38,0))</f>
        <v/>
      </c>
    </row>
    <row r="39" customFormat="false" ht="15" hidden="false" customHeight="false" outlineLevel="0" collapsed="false">
      <c r="A39" s="14" t="n">
        <v>45611</v>
      </c>
      <c r="B39" s="15" t="s">
        <v>72</v>
      </c>
      <c r="C39" s="16" t="s">
        <v>73</v>
      </c>
      <c r="D39" s="15" t="s">
        <v>74</v>
      </c>
      <c r="E39" s="17" t="n">
        <v>1355000000</v>
      </c>
      <c r="F39" s="17" t="n">
        <v>47425000</v>
      </c>
      <c r="G39" s="17" t="n">
        <v>901075000</v>
      </c>
      <c r="H39" s="17" t="n">
        <v>20325000</v>
      </c>
      <c r="I39" s="17" t="n">
        <v>386175000</v>
      </c>
      <c r="J39" s="17" t="n">
        <v>0</v>
      </c>
      <c r="K39" s="17" t="n">
        <v>243900000</v>
      </c>
      <c r="L39" s="17" t="n">
        <v>1598900000</v>
      </c>
      <c r="M39" s="18" t="n">
        <f aca="false">ROUND(F39*$B$3,0)</f>
        <v>8536500</v>
      </c>
      <c r="N39" s="18" t="n">
        <f aca="false">ROUND(G39*$B$3,0)</f>
        <v>162193500</v>
      </c>
      <c r="O39" s="18" t="n">
        <f aca="false">ROUND(H39*$B$3,0)</f>
        <v>3658500</v>
      </c>
      <c r="P39" s="18" t="n">
        <f aca="false">ROUND(I39*$B$3,0)</f>
        <v>69511500</v>
      </c>
      <c r="Q39" s="18" t="n">
        <f aca="false">M39+N39</f>
        <v>170730000</v>
      </c>
      <c r="R39" s="18" t="n">
        <f aca="false">O39+P39</f>
        <v>73170000</v>
      </c>
      <c r="S39" s="18" t="n">
        <f aca="false">Q39+R39-K39</f>
        <v>0</v>
      </c>
      <c r="T39" s="18" t="n">
        <f aca="false">IF(C39="Net à payer","",L39-E39-K39-IF(C39="Contrat",J39,0))</f>
        <v>0</v>
      </c>
    </row>
    <row r="40" customFormat="false" ht="15" hidden="false" customHeight="false" outlineLevel="0" collapsed="false">
      <c r="A40" s="14" t="n">
        <v>45611</v>
      </c>
      <c r="B40" s="15" t="s">
        <v>75</v>
      </c>
      <c r="C40" s="16" t="s">
        <v>73</v>
      </c>
      <c r="D40" s="15" t="s">
        <v>76</v>
      </c>
      <c r="E40" s="17" t="n">
        <v>1419700000</v>
      </c>
      <c r="F40" s="17" t="n">
        <v>49689500</v>
      </c>
      <c r="G40" s="17" t="n">
        <v>944100500</v>
      </c>
      <c r="H40" s="17" t="n">
        <v>21295500</v>
      </c>
      <c r="I40" s="17" t="n">
        <v>404614500</v>
      </c>
      <c r="J40" s="17" t="n">
        <v>0</v>
      </c>
      <c r="K40" s="17" t="n">
        <v>255546000</v>
      </c>
      <c r="L40" s="17" t="n">
        <v>1675246000</v>
      </c>
      <c r="M40" s="18" t="n">
        <f aca="false">ROUND(F40*$B$3,0)</f>
        <v>8944110</v>
      </c>
      <c r="N40" s="18" t="n">
        <f aca="false">ROUND(G40*$B$3,0)</f>
        <v>169938090</v>
      </c>
      <c r="O40" s="18" t="n">
        <f aca="false">ROUND(H40*$B$3,0)</f>
        <v>3833190</v>
      </c>
      <c r="P40" s="18" t="n">
        <f aca="false">ROUND(I40*$B$3,0)</f>
        <v>72830610</v>
      </c>
      <c r="Q40" s="18" t="n">
        <f aca="false">M40+N40</f>
        <v>178882200</v>
      </c>
      <c r="R40" s="18" t="n">
        <f aca="false">O40+P40</f>
        <v>76663800</v>
      </c>
      <c r="S40" s="18" t="n">
        <f aca="false">Q40+R40-K40</f>
        <v>0</v>
      </c>
      <c r="T40" s="18" t="n">
        <f aca="false">IF(C40="Net à payer","",L40-E40-K40-IF(C40="Contrat",J40,0))</f>
        <v>0</v>
      </c>
    </row>
    <row r="41" customFormat="false" ht="15" hidden="false" customHeight="false" outlineLevel="0" collapsed="false">
      <c r="A41" s="19"/>
      <c r="B41" s="20" t="s">
        <v>77</v>
      </c>
      <c r="C41" s="21" t="s">
        <v>33</v>
      </c>
      <c r="D41" s="20"/>
      <c r="E41" s="22" t="n">
        <v>2774700000</v>
      </c>
      <c r="F41" s="22" t="n">
        <v>97114500</v>
      </c>
      <c r="G41" s="22" t="n">
        <v>1845175500</v>
      </c>
      <c r="H41" s="22" t="n">
        <v>41620500</v>
      </c>
      <c r="I41" s="22" t="n">
        <v>790789500</v>
      </c>
      <c r="J41" s="22" t="n">
        <v>0</v>
      </c>
      <c r="K41" s="22" t="n">
        <v>499446000</v>
      </c>
      <c r="L41" s="22" t="n">
        <v>3274146000</v>
      </c>
      <c r="M41" s="23" t="n">
        <f aca="false">ROUND(F41*$B$3,0)</f>
        <v>17480610</v>
      </c>
      <c r="N41" s="23" t="n">
        <f aca="false">ROUND(G41*$B$3,0)</f>
        <v>332131590</v>
      </c>
      <c r="O41" s="23" t="n">
        <f aca="false">ROUND(H41*$B$3,0)</f>
        <v>7491690</v>
      </c>
      <c r="P41" s="23" t="n">
        <f aca="false">ROUND(I41*$B$3,0)</f>
        <v>142342110</v>
      </c>
      <c r="Q41" s="23" t="n">
        <f aca="false">M41+N41</f>
        <v>349612200</v>
      </c>
      <c r="R41" s="23" t="n">
        <f aca="false">O41+P41</f>
        <v>149833800</v>
      </c>
      <c r="S41" s="23" t="n">
        <f aca="false">Q41+R41-K41</f>
        <v>0</v>
      </c>
      <c r="T41" s="23" t="str">
        <f aca="false">IF(C41="Net à payer","",L41-E41-K41-IF(C41="Contrat",J41,0))</f>
        <v/>
      </c>
    </row>
    <row r="42" customFormat="false" ht="15" hidden="false" customHeight="false" outlineLevel="0" collapsed="false">
      <c r="A42" s="14" t="n">
        <v>45685</v>
      </c>
      <c r="B42" s="15" t="s">
        <v>78</v>
      </c>
      <c r="C42" s="16" t="s">
        <v>35</v>
      </c>
      <c r="D42" s="15" t="s">
        <v>79</v>
      </c>
      <c r="E42" s="17" t="n">
        <v>704170710</v>
      </c>
      <c r="F42" s="17" t="n">
        <v>32419750</v>
      </c>
      <c r="G42" s="17" t="n">
        <v>615975249</v>
      </c>
      <c r="H42" s="17" t="n">
        <v>2788786</v>
      </c>
      <c r="I42" s="17" t="n">
        <v>52986925</v>
      </c>
      <c r="J42" s="17" t="n">
        <v>0</v>
      </c>
      <c r="K42" s="17" t="n">
        <v>126750728</v>
      </c>
      <c r="L42" s="17" t="n">
        <v>830921438</v>
      </c>
      <c r="M42" s="18" t="n">
        <f aca="false">ROUND(F42*$B$3,0)</f>
        <v>5835555</v>
      </c>
      <c r="N42" s="18" t="n">
        <f aca="false">ROUND(G42*$B$3,0)</f>
        <v>110875545</v>
      </c>
      <c r="O42" s="18" t="n">
        <f aca="false">ROUND(H42*$B$3,0)</f>
        <v>501981</v>
      </c>
      <c r="P42" s="18" t="n">
        <f aca="false">ROUND(I42*$B$3,0)</f>
        <v>9537647</v>
      </c>
      <c r="Q42" s="18" t="n">
        <f aca="false">M42+N42</f>
        <v>116711100</v>
      </c>
      <c r="R42" s="18" t="n">
        <f aca="false">O42+P42</f>
        <v>10039628</v>
      </c>
      <c r="S42" s="18" t="n">
        <f aca="false">Q42+R42-K42</f>
        <v>0</v>
      </c>
      <c r="T42" s="18" t="n">
        <f aca="false">IF(C42="Net à payer","",L42-E42-K42-IF(C42="Contrat",J42,0))</f>
        <v>0</v>
      </c>
    </row>
    <row r="43" customFormat="false" ht="15" hidden="false" customHeight="false" outlineLevel="0" collapsed="false">
      <c r="A43" s="14" t="n">
        <v>45685</v>
      </c>
      <c r="B43" s="15" t="s">
        <v>80</v>
      </c>
      <c r="C43" s="16" t="s">
        <v>38</v>
      </c>
      <c r="D43" s="15" t="s">
        <v>79</v>
      </c>
      <c r="E43" s="17" t="n">
        <v>176042678</v>
      </c>
      <c r="F43" s="17" t="n">
        <v>8104937</v>
      </c>
      <c r="G43" s="17" t="n">
        <v>153993812</v>
      </c>
      <c r="H43" s="17" t="n">
        <v>697196</v>
      </c>
      <c r="I43" s="17" t="n">
        <v>13246731</v>
      </c>
      <c r="J43" s="17" t="n">
        <v>0</v>
      </c>
      <c r="K43" s="17" t="n">
        <v>31687682</v>
      </c>
      <c r="L43" s="17" t="n">
        <v>207730359</v>
      </c>
      <c r="M43" s="18" t="n">
        <f aca="false">ROUND(F43*$B$3,0)</f>
        <v>1458889</v>
      </c>
      <c r="N43" s="18" t="n">
        <f aca="false">ROUND(G43*$B$3,0)</f>
        <v>27718886</v>
      </c>
      <c r="O43" s="18" t="n">
        <f aca="false">ROUND(H43*$B$3,0)</f>
        <v>125495</v>
      </c>
      <c r="P43" s="18" t="n">
        <f aca="false">ROUND(I43*$B$3,0)</f>
        <v>2384412</v>
      </c>
      <c r="Q43" s="18" t="n">
        <f aca="false">M43+N43</f>
        <v>29177775</v>
      </c>
      <c r="R43" s="18" t="n">
        <f aca="false">O43+P43</f>
        <v>2509907</v>
      </c>
      <c r="S43" s="18" t="n">
        <f aca="false">Q43+R43-K43</f>
        <v>0</v>
      </c>
      <c r="T43" s="18" t="n">
        <f aca="false">IF(C43="Net à payer","",L43-E43-K43-IF(C43="Contrat",J43,0))</f>
        <v>-1</v>
      </c>
    </row>
    <row r="44" customFormat="false" ht="15" hidden="false" customHeight="false" outlineLevel="0" collapsed="false">
      <c r="A44" s="14" t="n">
        <v>45685</v>
      </c>
      <c r="B44" s="15" t="s">
        <v>81</v>
      </c>
      <c r="C44" s="16" t="s">
        <v>40</v>
      </c>
      <c r="D44" s="15" t="s">
        <v>79</v>
      </c>
      <c r="E44" s="17" t="n">
        <v>35208536</v>
      </c>
      <c r="F44" s="17" t="n">
        <v>1620987</v>
      </c>
      <c r="G44" s="17" t="n">
        <v>30798762</v>
      </c>
      <c r="H44" s="17" t="n">
        <v>139439</v>
      </c>
      <c r="I44" s="17" t="n">
        <v>2649346</v>
      </c>
      <c r="J44" s="17" t="n">
        <v>0</v>
      </c>
      <c r="K44" s="17" t="n">
        <v>6337536</v>
      </c>
      <c r="L44" s="17" t="n">
        <v>41546072</v>
      </c>
      <c r="M44" s="18" t="n">
        <f aca="false">ROUND(F44*$B$3,0)</f>
        <v>291778</v>
      </c>
      <c r="N44" s="18" t="n">
        <f aca="false">ROUND(G44*$B$3,0)</f>
        <v>5543777</v>
      </c>
      <c r="O44" s="18" t="n">
        <f aca="false">ROUND(H44*$B$3,0)</f>
        <v>25099</v>
      </c>
      <c r="P44" s="18" t="n">
        <f aca="false">ROUND(I44*$B$3,0)</f>
        <v>476882</v>
      </c>
      <c r="Q44" s="18" t="n">
        <f aca="false">M44+N44</f>
        <v>5835555</v>
      </c>
      <c r="R44" s="18" t="n">
        <f aca="false">O44+P44</f>
        <v>501981</v>
      </c>
      <c r="S44" s="18" t="n">
        <f aca="false">Q44+R44-K44</f>
        <v>0</v>
      </c>
      <c r="T44" s="18" t="n">
        <f aca="false">IF(C44="Net à payer","",L44-E44-K44-IF(C44="Contrat",J44,0))</f>
        <v>0</v>
      </c>
    </row>
    <row r="45" customFormat="false" ht="15" hidden="false" customHeight="false" outlineLevel="0" collapsed="false">
      <c r="A45" s="19"/>
      <c r="B45" s="20" t="s">
        <v>82</v>
      </c>
      <c r="C45" s="21" t="s">
        <v>33</v>
      </c>
      <c r="D45" s="20"/>
      <c r="E45" s="22" t="n">
        <v>492919497</v>
      </c>
      <c r="F45" s="22" t="n">
        <v>22693825</v>
      </c>
      <c r="G45" s="22" t="n">
        <v>431182674</v>
      </c>
      <c r="H45" s="22" t="n">
        <v>1952150</v>
      </c>
      <c r="I45" s="22" t="n">
        <v>37090848</v>
      </c>
      <c r="J45" s="22" t="n">
        <v>0</v>
      </c>
      <c r="K45" s="22" t="n">
        <v>88725509</v>
      </c>
      <c r="L45" s="22" t="n">
        <v>581645006</v>
      </c>
      <c r="M45" s="23" t="n">
        <f aca="false">ROUND(F45*$B$3,0)</f>
        <v>4084889</v>
      </c>
      <c r="N45" s="23" t="n">
        <f aca="false">ROUND(G45*$B$3,0)</f>
        <v>77612881</v>
      </c>
      <c r="O45" s="23" t="n">
        <f aca="false">ROUND(H45*$B$3,0)</f>
        <v>351387</v>
      </c>
      <c r="P45" s="23" t="n">
        <f aca="false">ROUND(I45*$B$3,0)</f>
        <v>6676353</v>
      </c>
      <c r="Q45" s="23" t="n">
        <f aca="false">M45+N45</f>
        <v>81697770</v>
      </c>
      <c r="R45" s="23" t="n">
        <f aca="false">O45+P45</f>
        <v>7027740</v>
      </c>
      <c r="S45" s="23" t="n">
        <f aca="false">Q45+R45-K45</f>
        <v>1</v>
      </c>
      <c r="T45" s="23" t="str">
        <f aca="false">IF(C45="Net à payer","",L45-E45-K45-IF(C45="Contrat",J45,0))</f>
        <v/>
      </c>
    </row>
    <row r="46" customFormat="false" ht="15" hidden="false" customHeight="false" outlineLevel="0" collapsed="false">
      <c r="A46" s="14" t="n">
        <v>45740</v>
      </c>
      <c r="B46" s="15" t="s">
        <v>83</v>
      </c>
      <c r="C46" s="16" t="s">
        <v>35</v>
      </c>
      <c r="D46" s="15" t="s">
        <v>84</v>
      </c>
      <c r="E46" s="17" t="n">
        <v>445733871</v>
      </c>
      <c r="F46" s="17" t="n">
        <v>16363397</v>
      </c>
      <c r="G46" s="17" t="n">
        <v>310904535</v>
      </c>
      <c r="H46" s="17" t="n">
        <v>5923297</v>
      </c>
      <c r="I46" s="17" t="n">
        <v>112542642</v>
      </c>
      <c r="J46" s="17" t="n">
        <v>0</v>
      </c>
      <c r="K46" s="17" t="n">
        <v>80232097</v>
      </c>
      <c r="L46" s="17" t="n">
        <v>525965968</v>
      </c>
      <c r="M46" s="18" t="n">
        <f aca="false">ROUND(F46*$B$3,0)</f>
        <v>2945411</v>
      </c>
      <c r="N46" s="18" t="n">
        <f aca="false">ROUND(G46*$B$3,0)</f>
        <v>55962816</v>
      </c>
      <c r="O46" s="18" t="n">
        <f aca="false">ROUND(H46*$B$3,0)</f>
        <v>1066193</v>
      </c>
      <c r="P46" s="18" t="n">
        <f aca="false">ROUND(I46*$B$3,0)</f>
        <v>20257676</v>
      </c>
      <c r="Q46" s="18" t="n">
        <f aca="false">M46+N46</f>
        <v>58908227</v>
      </c>
      <c r="R46" s="18" t="n">
        <f aca="false">O46+P46</f>
        <v>21323869</v>
      </c>
      <c r="S46" s="18" t="n">
        <f aca="false">Q46+R46-K46</f>
        <v>-1</v>
      </c>
      <c r="T46" s="18" t="n">
        <f aca="false">IF(C46="Net à payer","",L46-E46-K46-IF(C46="Contrat",J46,0))</f>
        <v>0</v>
      </c>
    </row>
    <row r="47" customFormat="false" ht="15" hidden="false" customHeight="false" outlineLevel="0" collapsed="false">
      <c r="A47" s="14" t="n">
        <v>45740</v>
      </c>
      <c r="B47" s="15" t="s">
        <v>85</v>
      </c>
      <c r="C47" s="16" t="s">
        <v>38</v>
      </c>
      <c r="D47" s="15" t="s">
        <v>84</v>
      </c>
      <c r="E47" s="17" t="n">
        <v>111433468</v>
      </c>
      <c r="F47" s="17" t="n">
        <v>4090849</v>
      </c>
      <c r="G47" s="17" t="n">
        <v>77726134</v>
      </c>
      <c r="H47" s="17" t="n">
        <v>1480824</v>
      </c>
      <c r="I47" s="17" t="n">
        <v>28135661</v>
      </c>
      <c r="J47" s="17" t="n">
        <v>0</v>
      </c>
      <c r="K47" s="17" t="n">
        <v>20058024</v>
      </c>
      <c r="L47" s="17" t="n">
        <v>131491492</v>
      </c>
      <c r="M47" s="18" t="n">
        <f aca="false">ROUND(F47*$B$3,0)</f>
        <v>736353</v>
      </c>
      <c r="N47" s="18" t="n">
        <f aca="false">ROUND(G47*$B$3,0)</f>
        <v>13990704</v>
      </c>
      <c r="O47" s="18" t="n">
        <f aca="false">ROUND(H47*$B$3,0)</f>
        <v>266548</v>
      </c>
      <c r="P47" s="18" t="n">
        <f aca="false">ROUND(I47*$B$3,0)</f>
        <v>5064419</v>
      </c>
      <c r="Q47" s="18" t="n">
        <f aca="false">M47+N47</f>
        <v>14727057</v>
      </c>
      <c r="R47" s="18" t="n">
        <f aca="false">O47+P47</f>
        <v>5330967</v>
      </c>
      <c r="S47" s="18" t="n">
        <f aca="false">Q47+R47-K47</f>
        <v>0</v>
      </c>
      <c r="T47" s="18" t="n">
        <f aca="false">IF(C47="Net à payer","",L47-E47-K47-IF(C47="Contrat",J47,0))</f>
        <v>0</v>
      </c>
    </row>
    <row r="48" customFormat="false" ht="15" hidden="false" customHeight="false" outlineLevel="0" collapsed="false">
      <c r="A48" s="14" t="n">
        <v>45740</v>
      </c>
      <c r="B48" s="15" t="s">
        <v>86</v>
      </c>
      <c r="C48" s="16" t="s">
        <v>40</v>
      </c>
      <c r="D48" s="15" t="s">
        <v>84</v>
      </c>
      <c r="E48" s="17" t="n">
        <v>22286694</v>
      </c>
      <c r="F48" s="17" t="n">
        <v>818170</v>
      </c>
      <c r="G48" s="17" t="n">
        <v>15545227</v>
      </c>
      <c r="H48" s="17" t="n">
        <v>296165</v>
      </c>
      <c r="I48" s="17" t="n">
        <v>5627132</v>
      </c>
      <c r="J48" s="17" t="n">
        <v>0</v>
      </c>
      <c r="K48" s="17" t="n">
        <v>4011605</v>
      </c>
      <c r="L48" s="17" t="n">
        <v>26298298</v>
      </c>
      <c r="M48" s="18" t="n">
        <f aca="false">ROUND(F48*$B$3,0)</f>
        <v>147271</v>
      </c>
      <c r="N48" s="18" t="n">
        <f aca="false">ROUND(G48*$B$3,0)</f>
        <v>2798141</v>
      </c>
      <c r="O48" s="18" t="n">
        <f aca="false">ROUND(H48*$B$3,0)</f>
        <v>53310</v>
      </c>
      <c r="P48" s="18" t="n">
        <f aca="false">ROUND(I48*$B$3,0)</f>
        <v>1012884</v>
      </c>
      <c r="Q48" s="18" t="n">
        <f aca="false">M48+N48</f>
        <v>2945412</v>
      </c>
      <c r="R48" s="18" t="n">
        <f aca="false">O48+P48</f>
        <v>1066194</v>
      </c>
      <c r="S48" s="18" t="n">
        <f aca="false">Q48+R48-K48</f>
        <v>1</v>
      </c>
      <c r="T48" s="18" t="n">
        <f aca="false">IF(C48="Net à payer","",L48-E48-K48-IF(C48="Contrat",J48,0))</f>
        <v>-1</v>
      </c>
    </row>
    <row r="49" customFormat="false" ht="15" hidden="false" customHeight="false" outlineLevel="0" collapsed="false">
      <c r="A49" s="19"/>
      <c r="B49" s="20" t="s">
        <v>87</v>
      </c>
      <c r="C49" s="21" t="s">
        <v>33</v>
      </c>
      <c r="D49" s="20"/>
      <c r="E49" s="22" t="n">
        <v>312013710</v>
      </c>
      <c r="F49" s="22" t="n">
        <v>11454378</v>
      </c>
      <c r="G49" s="22" t="n">
        <v>217633175</v>
      </c>
      <c r="H49" s="22" t="n">
        <v>4146308</v>
      </c>
      <c r="I49" s="22" t="n">
        <v>78779849</v>
      </c>
      <c r="J49" s="22" t="n">
        <v>0</v>
      </c>
      <c r="K49" s="22" t="n">
        <v>56162468</v>
      </c>
      <c r="L49" s="22" t="n">
        <v>368176177</v>
      </c>
      <c r="M49" s="23" t="n">
        <f aca="false">ROUND(F49*$B$3,0)</f>
        <v>2061788</v>
      </c>
      <c r="N49" s="23" t="n">
        <f aca="false">ROUND(G49*$B$3,0)</f>
        <v>39173972</v>
      </c>
      <c r="O49" s="23" t="n">
        <f aca="false">ROUND(H49*$B$3,0)</f>
        <v>746335</v>
      </c>
      <c r="P49" s="23" t="n">
        <f aca="false">ROUND(I49*$B$3,0)</f>
        <v>14180373</v>
      </c>
      <c r="Q49" s="23" t="n">
        <f aca="false">M49+N49</f>
        <v>41235760</v>
      </c>
      <c r="R49" s="23" t="n">
        <f aca="false">O49+P49</f>
        <v>14926708</v>
      </c>
      <c r="S49" s="23" t="n">
        <f aca="false">Q49+R49-K49</f>
        <v>0</v>
      </c>
      <c r="T49" s="23" t="str">
        <f aca="false">IF(C49="Net à payer","",L49-E49-K49-IF(C49="Contrat",J49,0))</f>
        <v/>
      </c>
    </row>
    <row r="50" customFormat="false" ht="15" hidden="false" customHeight="false" outlineLevel="0" collapsed="false">
      <c r="A50" s="14" t="n">
        <v>45887</v>
      </c>
      <c r="B50" s="15" t="s">
        <v>88</v>
      </c>
      <c r="C50" s="16" t="s">
        <v>35</v>
      </c>
      <c r="D50" s="15" t="s">
        <v>89</v>
      </c>
      <c r="E50" s="17" t="n">
        <v>128556771</v>
      </c>
      <c r="F50" s="17" t="n">
        <v>1912512</v>
      </c>
      <c r="G50" s="17" t="n">
        <v>36337733</v>
      </c>
      <c r="H50" s="17" t="n">
        <v>4515326</v>
      </c>
      <c r="I50" s="17" t="n">
        <v>85791200</v>
      </c>
      <c r="J50" s="17" t="n">
        <v>0</v>
      </c>
      <c r="K50" s="17" t="n">
        <v>23140219</v>
      </c>
      <c r="L50" s="17" t="n">
        <v>151696990</v>
      </c>
      <c r="M50" s="18" t="n">
        <f aca="false">ROUND(F50*$B$3,0)</f>
        <v>344252</v>
      </c>
      <c r="N50" s="18" t="n">
        <f aca="false">ROUND(G50*$B$3,0)</f>
        <v>6540792</v>
      </c>
      <c r="O50" s="18" t="n">
        <f aca="false">ROUND(H50*$B$3,0)</f>
        <v>812759</v>
      </c>
      <c r="P50" s="18" t="n">
        <f aca="false">ROUND(I50*$B$3,0)</f>
        <v>15442416</v>
      </c>
      <c r="Q50" s="18" t="n">
        <f aca="false">M50+N50</f>
        <v>6885044</v>
      </c>
      <c r="R50" s="18" t="n">
        <f aca="false">O50+P50</f>
        <v>16255175</v>
      </c>
      <c r="S50" s="18" t="n">
        <f aca="false">Q50+R50-K50</f>
        <v>0</v>
      </c>
      <c r="T50" s="18" t="n">
        <f aca="false">IF(C50="Net à payer","",L50-E50-K50-IF(C50="Contrat",J50,0))</f>
        <v>0</v>
      </c>
    </row>
    <row r="51" customFormat="false" ht="15" hidden="false" customHeight="false" outlineLevel="0" collapsed="false">
      <c r="A51" s="14" t="n">
        <v>45887</v>
      </c>
      <c r="B51" s="15" t="s">
        <v>90</v>
      </c>
      <c r="C51" s="16" t="s">
        <v>38</v>
      </c>
      <c r="D51" s="15" t="s">
        <v>89</v>
      </c>
      <c r="E51" s="17" t="n">
        <v>32139193</v>
      </c>
      <c r="F51" s="17" t="n">
        <v>478128</v>
      </c>
      <c r="G51" s="17" t="n">
        <v>9084433</v>
      </c>
      <c r="H51" s="17" t="n">
        <v>1128832</v>
      </c>
      <c r="I51" s="17" t="n">
        <v>21447800</v>
      </c>
      <c r="J51" s="17" t="n">
        <v>0</v>
      </c>
      <c r="K51" s="17" t="n">
        <v>5785055</v>
      </c>
      <c r="L51" s="17" t="n">
        <v>37924247</v>
      </c>
      <c r="M51" s="18" t="n">
        <f aca="false">ROUND(F51*$B$3,0)</f>
        <v>86063</v>
      </c>
      <c r="N51" s="18" t="n">
        <f aca="false">ROUND(G51*$B$3,0)</f>
        <v>1635198</v>
      </c>
      <c r="O51" s="18" t="n">
        <f aca="false">ROUND(H51*$B$3,0)</f>
        <v>203190</v>
      </c>
      <c r="P51" s="18" t="n">
        <f aca="false">ROUND(I51*$B$3,0)</f>
        <v>3860604</v>
      </c>
      <c r="Q51" s="18" t="n">
        <f aca="false">M51+N51</f>
        <v>1721261</v>
      </c>
      <c r="R51" s="18" t="n">
        <f aca="false">O51+P51</f>
        <v>4063794</v>
      </c>
      <c r="S51" s="18" t="n">
        <f aca="false">Q51+R51-K51</f>
        <v>0</v>
      </c>
      <c r="T51" s="18" t="n">
        <f aca="false">IF(C51="Net à payer","",L51-E51-K51-IF(C51="Contrat",J51,0))</f>
        <v>-1</v>
      </c>
    </row>
    <row r="52" customFormat="false" ht="15" hidden="false" customHeight="false" outlineLevel="0" collapsed="false">
      <c r="A52" s="14" t="n">
        <v>45887</v>
      </c>
      <c r="B52" s="15" t="s">
        <v>91</v>
      </c>
      <c r="C52" s="16" t="s">
        <v>40</v>
      </c>
      <c r="D52" s="15" t="s">
        <v>89</v>
      </c>
      <c r="E52" s="17" t="n">
        <v>6427839</v>
      </c>
      <c r="F52" s="17" t="n">
        <v>95626</v>
      </c>
      <c r="G52" s="17" t="n">
        <v>1816887</v>
      </c>
      <c r="H52" s="17" t="n">
        <v>225766</v>
      </c>
      <c r="I52" s="17" t="n">
        <v>4289560</v>
      </c>
      <c r="J52" s="17" t="n">
        <v>0</v>
      </c>
      <c r="K52" s="17" t="n">
        <v>1157011</v>
      </c>
      <c r="L52" s="17" t="n">
        <v>7584849</v>
      </c>
      <c r="M52" s="18" t="n">
        <f aca="false">ROUND(F52*$B$3,0)</f>
        <v>17213</v>
      </c>
      <c r="N52" s="18" t="n">
        <f aca="false">ROUND(G52*$B$3,0)</f>
        <v>327040</v>
      </c>
      <c r="O52" s="18" t="n">
        <f aca="false">ROUND(H52*$B$3,0)</f>
        <v>40638</v>
      </c>
      <c r="P52" s="18" t="n">
        <f aca="false">ROUND(I52*$B$3,0)</f>
        <v>772121</v>
      </c>
      <c r="Q52" s="18" t="n">
        <f aca="false">M52+N52</f>
        <v>344253</v>
      </c>
      <c r="R52" s="18" t="n">
        <f aca="false">O52+P52</f>
        <v>812759</v>
      </c>
      <c r="S52" s="18" t="n">
        <f aca="false">Q52+R52-K52</f>
        <v>1</v>
      </c>
      <c r="T52" s="18" t="n">
        <f aca="false">IF(C52="Net à payer","",L52-E52-K52-IF(C52="Contrat",J52,0))</f>
        <v>-1</v>
      </c>
    </row>
    <row r="53" customFormat="false" ht="15" hidden="false" customHeight="false" outlineLevel="0" collapsed="false">
      <c r="A53" s="19"/>
      <c r="B53" s="20" t="s">
        <v>92</v>
      </c>
      <c r="C53" s="21" t="s">
        <v>33</v>
      </c>
      <c r="D53" s="20"/>
      <c r="E53" s="22" t="n">
        <v>89989740</v>
      </c>
      <c r="F53" s="22" t="n">
        <v>1338759</v>
      </c>
      <c r="G53" s="22" t="n">
        <v>25436413</v>
      </c>
      <c r="H53" s="22" t="n">
        <v>3160728</v>
      </c>
      <c r="I53" s="22" t="n">
        <v>60053840</v>
      </c>
      <c r="J53" s="22" t="n">
        <v>4499487</v>
      </c>
      <c r="K53" s="22" t="n">
        <v>16198153</v>
      </c>
      <c r="L53" s="22" t="n">
        <v>106187893</v>
      </c>
      <c r="M53" s="23" t="n">
        <f aca="false">ROUND(F53*$B$3,0)</f>
        <v>240977</v>
      </c>
      <c r="N53" s="23" t="n">
        <f aca="false">ROUND(G53*$B$3,0)</f>
        <v>4578554</v>
      </c>
      <c r="O53" s="23" t="n">
        <f aca="false">ROUND(H53*$B$3,0)</f>
        <v>568931</v>
      </c>
      <c r="P53" s="23" t="n">
        <f aca="false">ROUND(I53*$B$3,0)</f>
        <v>10809691</v>
      </c>
      <c r="Q53" s="23" t="n">
        <f aca="false">M53+N53</f>
        <v>4819531</v>
      </c>
      <c r="R53" s="23" t="n">
        <f aca="false">O53+P53</f>
        <v>11378622</v>
      </c>
      <c r="S53" s="23" t="n">
        <f aca="false">Q53+R53-K53</f>
        <v>0</v>
      </c>
      <c r="T53" s="23" t="str">
        <f aca="false">IF(C53="Net à payer","",L53-E53-K53-IF(C53="Contrat",J53,0))</f>
        <v/>
      </c>
    </row>
    <row r="54" customFormat="false" ht="15" hidden="false" customHeight="false" outlineLevel="0" collapsed="false">
      <c r="A54" s="14" t="n">
        <v>45957</v>
      </c>
      <c r="B54" s="15" t="s">
        <v>93</v>
      </c>
      <c r="C54" s="16" t="s">
        <v>73</v>
      </c>
      <c r="D54" s="15" t="s">
        <v>94</v>
      </c>
      <c r="E54" s="17" t="n">
        <v>2774700000</v>
      </c>
      <c r="F54" s="17" t="n">
        <v>97114500</v>
      </c>
      <c r="G54" s="17" t="n">
        <v>1845175500</v>
      </c>
      <c r="H54" s="17" t="n">
        <v>41620500</v>
      </c>
      <c r="I54" s="17" t="n">
        <v>790789500</v>
      </c>
      <c r="J54" s="17" t="n">
        <v>0</v>
      </c>
      <c r="K54" s="17" t="n">
        <v>499446000</v>
      </c>
      <c r="L54" s="17" t="n">
        <v>3274146000</v>
      </c>
      <c r="M54" s="18" t="n">
        <f aca="false">ROUND(F54*$B$3,0)</f>
        <v>17480610</v>
      </c>
      <c r="N54" s="18" t="n">
        <f aca="false">ROUND(G54*$B$3,0)</f>
        <v>332131590</v>
      </c>
      <c r="O54" s="18" t="n">
        <f aca="false">ROUND(H54*$B$3,0)</f>
        <v>7491690</v>
      </c>
      <c r="P54" s="18" t="n">
        <f aca="false">ROUND(I54*$B$3,0)</f>
        <v>142342110</v>
      </c>
      <c r="Q54" s="18" t="n">
        <f aca="false">M54+N54</f>
        <v>349612200</v>
      </c>
      <c r="R54" s="18" t="n">
        <f aca="false">O54+P54</f>
        <v>149833800</v>
      </c>
      <c r="S54" s="18" t="n">
        <f aca="false">Q54+R54-K54</f>
        <v>0</v>
      </c>
      <c r="T54" s="18" t="n">
        <f aca="false">IF(C54="Net à payer","",L54-E54-K54-IF(C54="Contrat",J54,0))</f>
        <v>0</v>
      </c>
    </row>
    <row r="55" customFormat="false" ht="15" hidden="false" customHeight="false" outlineLevel="0" collapsed="false">
      <c r="A55" s="19"/>
      <c r="B55" s="20" t="s">
        <v>95</v>
      </c>
      <c r="C55" s="21" t="s">
        <v>33</v>
      </c>
      <c r="D55" s="20"/>
      <c r="E55" s="22" t="n">
        <v>2774700000</v>
      </c>
      <c r="F55" s="22" t="n">
        <v>97114500</v>
      </c>
      <c r="G55" s="22" t="n">
        <v>1845175500</v>
      </c>
      <c r="H55" s="22" t="n">
        <v>41620500</v>
      </c>
      <c r="I55" s="22" t="n">
        <v>790789500</v>
      </c>
      <c r="J55" s="22" t="n">
        <v>138735000</v>
      </c>
      <c r="K55" s="22" t="n">
        <v>499446000</v>
      </c>
      <c r="L55" s="22" t="n">
        <v>3274146000</v>
      </c>
      <c r="M55" s="23" t="n">
        <f aca="false">ROUND(F55*$B$3,0)</f>
        <v>17480610</v>
      </c>
      <c r="N55" s="23" t="n">
        <f aca="false">ROUND(G55*$B$3,0)</f>
        <v>332131590</v>
      </c>
      <c r="O55" s="23" t="n">
        <f aca="false">ROUND(H55*$B$3,0)</f>
        <v>7491690</v>
      </c>
      <c r="P55" s="23" t="n">
        <f aca="false">ROUND(I55*$B$3,0)</f>
        <v>142342110</v>
      </c>
      <c r="Q55" s="23" t="n">
        <f aca="false">M55+N55</f>
        <v>349612200</v>
      </c>
      <c r="R55" s="23" t="n">
        <f aca="false">O55+P55</f>
        <v>149833800</v>
      </c>
      <c r="S55" s="23" t="n">
        <f aca="false">Q55+R55-K55</f>
        <v>0</v>
      </c>
      <c r="T55" s="23" t="str">
        <f aca="false">IF(C55="Net à payer","",L55-E55-K55-IF(C55="Contrat",J55,0))</f>
        <v/>
      </c>
    </row>
    <row r="56" customFormat="false" ht="15" hidden="false" customHeight="false" outlineLevel="0" collapsed="false">
      <c r="A56" s="14" t="n">
        <v>45968</v>
      </c>
      <c r="B56" s="15" t="s">
        <v>96</v>
      </c>
      <c r="C56" s="16" t="s">
        <v>35</v>
      </c>
      <c r="D56" s="15" t="s">
        <v>97</v>
      </c>
      <c r="E56" s="17" t="n">
        <v>1057495814</v>
      </c>
      <c r="F56" s="17" t="n">
        <v>26465330</v>
      </c>
      <c r="G56" s="17" t="n">
        <v>502841274</v>
      </c>
      <c r="H56" s="17" t="n">
        <v>26409461</v>
      </c>
      <c r="I56" s="17" t="n">
        <v>501779750</v>
      </c>
      <c r="J56" s="17" t="n">
        <v>0</v>
      </c>
      <c r="K56" s="17" t="n">
        <v>190349247</v>
      </c>
      <c r="L56" s="17" t="n">
        <v>1247845061</v>
      </c>
      <c r="M56" s="18" t="n">
        <f aca="false">ROUND(F56*$B$3,0)</f>
        <v>4763759</v>
      </c>
      <c r="N56" s="18" t="n">
        <f aca="false">ROUND(G56*$B$3,0)</f>
        <v>90511429</v>
      </c>
      <c r="O56" s="18" t="n">
        <f aca="false">ROUND(H56*$B$3,0)</f>
        <v>4753703</v>
      </c>
      <c r="P56" s="18" t="n">
        <f aca="false">ROUND(I56*$B$3,0)</f>
        <v>90320355</v>
      </c>
      <c r="Q56" s="18" t="n">
        <f aca="false">M56+N56</f>
        <v>95275188</v>
      </c>
      <c r="R56" s="18" t="n">
        <f aca="false">O56+P56</f>
        <v>95074058</v>
      </c>
      <c r="S56" s="18" t="n">
        <f aca="false">Q56+R56-K56</f>
        <v>-1</v>
      </c>
      <c r="T56" s="18" t="n">
        <f aca="false">IF(C56="Net à payer","",L56-E56-K56-IF(C56="Contrat",J56,0))</f>
        <v>0</v>
      </c>
    </row>
    <row r="57" customFormat="false" ht="15" hidden="false" customHeight="false" outlineLevel="0" collapsed="false">
      <c r="A57" s="14" t="n">
        <v>45968</v>
      </c>
      <c r="B57" s="15" t="s">
        <v>98</v>
      </c>
      <c r="C57" s="16" t="s">
        <v>38</v>
      </c>
      <c r="D57" s="15" t="s">
        <v>97</v>
      </c>
      <c r="E57" s="17" t="n">
        <v>264373954</v>
      </c>
      <c r="F57" s="17" t="n">
        <v>6616333</v>
      </c>
      <c r="G57" s="17" t="n">
        <v>125710318</v>
      </c>
      <c r="H57" s="17" t="n">
        <v>6602365</v>
      </c>
      <c r="I57" s="17" t="n">
        <v>125444937</v>
      </c>
      <c r="J57" s="17" t="n">
        <v>0</v>
      </c>
      <c r="K57" s="17" t="n">
        <v>47587312</v>
      </c>
      <c r="L57" s="17" t="n">
        <v>311961265</v>
      </c>
      <c r="M57" s="18" t="n">
        <f aca="false">ROUND(F57*$B$3,0)</f>
        <v>1190940</v>
      </c>
      <c r="N57" s="18" t="n">
        <f aca="false">ROUND(G57*$B$3,0)</f>
        <v>22627857</v>
      </c>
      <c r="O57" s="18" t="n">
        <f aca="false">ROUND(H57*$B$3,0)</f>
        <v>1188426</v>
      </c>
      <c r="P57" s="18" t="n">
        <f aca="false">ROUND(I57*$B$3,0)</f>
        <v>22580089</v>
      </c>
      <c r="Q57" s="18" t="n">
        <f aca="false">M57+N57</f>
        <v>23818797</v>
      </c>
      <c r="R57" s="18" t="n">
        <f aca="false">O57+P57</f>
        <v>23768515</v>
      </c>
      <c r="S57" s="18" t="n">
        <f aca="false">Q57+R57-K57</f>
        <v>0</v>
      </c>
      <c r="T57" s="18" t="n">
        <f aca="false">IF(C57="Net à payer","",L57-E57-K57-IF(C57="Contrat",J57,0))</f>
        <v>-1</v>
      </c>
    </row>
    <row r="58" customFormat="false" ht="15" hidden="false" customHeight="false" outlineLevel="0" collapsed="false">
      <c r="A58" s="14" t="n">
        <v>45968</v>
      </c>
      <c r="B58" s="15" t="s">
        <v>99</v>
      </c>
      <c r="C58" s="16" t="s">
        <v>40</v>
      </c>
      <c r="D58" s="15" t="s">
        <v>97</v>
      </c>
      <c r="E58" s="17" t="n">
        <v>52874791</v>
      </c>
      <c r="F58" s="17" t="n">
        <v>1323267</v>
      </c>
      <c r="G58" s="17" t="n">
        <v>25142064</v>
      </c>
      <c r="H58" s="17" t="n">
        <v>1320473</v>
      </c>
      <c r="I58" s="17" t="n">
        <v>25088987</v>
      </c>
      <c r="J58" s="17" t="n">
        <v>0</v>
      </c>
      <c r="K58" s="17" t="n">
        <v>9517462</v>
      </c>
      <c r="L58" s="17" t="n">
        <v>62392253</v>
      </c>
      <c r="M58" s="18" t="n">
        <f aca="false">ROUND(F58*$B$3,0)</f>
        <v>238188</v>
      </c>
      <c r="N58" s="18" t="n">
        <f aca="false">ROUND(G58*$B$3,0)</f>
        <v>4525572</v>
      </c>
      <c r="O58" s="18" t="n">
        <f aca="false">ROUND(H58*$B$3,0)</f>
        <v>237685</v>
      </c>
      <c r="P58" s="18" t="n">
        <f aca="false">ROUND(I58*$B$3,0)</f>
        <v>4516018</v>
      </c>
      <c r="Q58" s="18" t="n">
        <f aca="false">M58+N58</f>
        <v>4763760</v>
      </c>
      <c r="R58" s="18" t="n">
        <f aca="false">O58+P58</f>
        <v>4753703</v>
      </c>
      <c r="S58" s="18" t="n">
        <f aca="false">Q58+R58-K58</f>
        <v>1</v>
      </c>
      <c r="T58" s="18" t="n">
        <f aca="false">IF(C58="Net à payer","",L58-E58-K58-IF(C58="Contrat",J58,0))</f>
        <v>0</v>
      </c>
    </row>
    <row r="59" customFormat="false" ht="15" hidden="false" customHeight="false" outlineLevel="0" collapsed="false">
      <c r="A59" s="14" t="n">
        <v>45968</v>
      </c>
      <c r="B59" s="15" t="s">
        <v>100</v>
      </c>
      <c r="C59" s="16" t="s">
        <v>101</v>
      </c>
      <c r="D59" s="15" t="s">
        <v>97</v>
      </c>
      <c r="E59" s="17" t="n">
        <v>150253316</v>
      </c>
      <c r="F59" s="17" t="n">
        <v>3760302</v>
      </c>
      <c r="G59" s="17" t="n">
        <v>71445738</v>
      </c>
      <c r="H59" s="17" t="n">
        <v>3752364</v>
      </c>
      <c r="I59" s="17" t="n">
        <v>71294912</v>
      </c>
      <c r="J59" s="17" t="n">
        <v>0</v>
      </c>
      <c r="K59" s="17" t="n">
        <v>27045597</v>
      </c>
      <c r="L59" s="17" t="n">
        <v>177298913</v>
      </c>
      <c r="M59" s="18" t="n">
        <f aca="false">ROUND(F59*$B$3,0)</f>
        <v>676854</v>
      </c>
      <c r="N59" s="18" t="n">
        <f aca="false">ROUND(G59*$B$3,0)</f>
        <v>12860233</v>
      </c>
      <c r="O59" s="18" t="n">
        <f aca="false">ROUND(H59*$B$3,0)</f>
        <v>675426</v>
      </c>
      <c r="P59" s="18" t="n">
        <f aca="false">ROUND(I59*$B$3,0)</f>
        <v>12833084</v>
      </c>
      <c r="Q59" s="18" t="n">
        <f aca="false">M59+N59</f>
        <v>13537087</v>
      </c>
      <c r="R59" s="18" t="n">
        <f aca="false">O59+P59</f>
        <v>13508510</v>
      </c>
      <c r="S59" s="18" t="n">
        <f aca="false">Q59+R59-K59</f>
        <v>0</v>
      </c>
      <c r="T59" s="18" t="n">
        <f aca="false">IF(C59="Net à payer","",L59-E59-K59-IF(C59="Contrat",J59,0))</f>
        <v>0</v>
      </c>
    </row>
    <row r="60" customFormat="false" ht="15" hidden="false" customHeight="false" outlineLevel="0" collapsed="false">
      <c r="A60" s="19"/>
      <c r="B60" s="20" t="s">
        <v>102</v>
      </c>
      <c r="C60" s="21" t="s">
        <v>33</v>
      </c>
      <c r="D60" s="20"/>
      <c r="E60" s="22" t="n">
        <v>589993754</v>
      </c>
      <c r="F60" s="22" t="n">
        <v>14765429</v>
      </c>
      <c r="G60" s="22" t="n">
        <v>280543154</v>
      </c>
      <c r="H60" s="22" t="n">
        <v>14734259</v>
      </c>
      <c r="I60" s="22" t="n">
        <v>279950912</v>
      </c>
      <c r="J60" s="22" t="n">
        <v>29499688</v>
      </c>
      <c r="K60" s="22" t="n">
        <v>106198876</v>
      </c>
      <c r="L60" s="22" t="n">
        <v>696192629</v>
      </c>
      <c r="M60" s="23" t="n">
        <f aca="false">ROUND(F60*$B$3,0)</f>
        <v>2657777</v>
      </c>
      <c r="N60" s="23" t="n">
        <f aca="false">ROUND(G60*$B$3,0)</f>
        <v>50497768</v>
      </c>
      <c r="O60" s="23" t="n">
        <f aca="false">ROUND(H60*$B$3,0)</f>
        <v>2652167</v>
      </c>
      <c r="P60" s="23" t="n">
        <f aca="false">ROUND(I60*$B$3,0)</f>
        <v>50391164</v>
      </c>
      <c r="Q60" s="23" t="n">
        <f aca="false">M60+N60</f>
        <v>53155545</v>
      </c>
      <c r="R60" s="23" t="n">
        <f aca="false">O60+P60</f>
        <v>53043331</v>
      </c>
      <c r="S60" s="23" t="n">
        <f aca="false">Q60+R60-K60</f>
        <v>0</v>
      </c>
      <c r="T60" s="23" t="str">
        <f aca="false">IF(C60="Net à payer","",L60-E60-K60-IF(C60="Contrat",J60,0))</f>
        <v/>
      </c>
    </row>
    <row r="61" customFormat="false" ht="15" hidden="false" customHeight="false" outlineLevel="0" collapsed="false">
      <c r="A61" s="19"/>
      <c r="B61" s="20" t="s">
        <v>103</v>
      </c>
      <c r="C61" s="21" t="s">
        <v>33</v>
      </c>
      <c r="D61" s="20"/>
      <c r="E61" s="22" t="n">
        <v>3364693754</v>
      </c>
      <c r="F61" s="22" t="n">
        <v>111879929</v>
      </c>
      <c r="G61" s="22" t="n">
        <v>2125718654</v>
      </c>
      <c r="H61" s="22" t="n">
        <v>56354759</v>
      </c>
      <c r="I61" s="22" t="n">
        <v>1070740412</v>
      </c>
      <c r="J61" s="22" t="n">
        <v>168234688</v>
      </c>
      <c r="K61" s="22" t="n">
        <v>605644876</v>
      </c>
      <c r="L61" s="22" t="n">
        <v>3970338629</v>
      </c>
      <c r="M61" s="23" t="n">
        <f aca="false">ROUND(F61*$B$3,0)</f>
        <v>20138387</v>
      </c>
      <c r="N61" s="23" t="n">
        <f aca="false">ROUND(G61*$B$3,0)</f>
        <v>382629358</v>
      </c>
      <c r="O61" s="23" t="n">
        <f aca="false">ROUND(H61*$B$3,0)</f>
        <v>10143857</v>
      </c>
      <c r="P61" s="23" t="n">
        <f aca="false">ROUND(I61*$B$3,0)</f>
        <v>192733274</v>
      </c>
      <c r="Q61" s="23" t="n">
        <f aca="false">M61+N61</f>
        <v>402767745</v>
      </c>
      <c r="R61" s="23" t="n">
        <f aca="false">O61+P61</f>
        <v>202877131</v>
      </c>
      <c r="S61" s="23" t="n">
        <f aca="false">Q61+R61-K61</f>
        <v>0</v>
      </c>
      <c r="T61" s="23" t="str">
        <f aca="false">IF(C61="Net à payer","",L61-E61-K61-IF(C61="Contrat",J61,0))</f>
        <v/>
      </c>
    </row>
    <row r="62" customFormat="false" ht="15" hidden="false" customHeight="false" outlineLevel="0" collapsed="false">
      <c r="A62" s="14" t="n">
        <v>46021</v>
      </c>
      <c r="B62" s="15" t="s">
        <v>104</v>
      </c>
      <c r="C62" s="16" t="s">
        <v>35</v>
      </c>
      <c r="D62" s="15" t="s">
        <v>105</v>
      </c>
      <c r="E62" s="17" t="n">
        <v>1064397207</v>
      </c>
      <c r="F62" s="17" t="n">
        <v>32062929</v>
      </c>
      <c r="G62" s="17" t="n">
        <v>609195642</v>
      </c>
      <c r="H62" s="17" t="n">
        <v>21156932</v>
      </c>
      <c r="I62" s="17" t="n">
        <v>401981705</v>
      </c>
      <c r="J62" s="17" t="n">
        <v>0</v>
      </c>
      <c r="K62" s="17" t="n">
        <v>191591497</v>
      </c>
      <c r="L62" s="17" t="n">
        <v>1255988704</v>
      </c>
      <c r="M62" s="18" t="n">
        <f aca="false">ROUND(F62*$B$3,0)</f>
        <v>5771327</v>
      </c>
      <c r="N62" s="18" t="n">
        <f aca="false">ROUND(G62*$B$3,0)</f>
        <v>109655216</v>
      </c>
      <c r="O62" s="18" t="n">
        <f aca="false">ROUND(H62*$B$3,0)</f>
        <v>3808248</v>
      </c>
      <c r="P62" s="18" t="n">
        <f aca="false">ROUND(I62*$B$3,0)</f>
        <v>72356707</v>
      </c>
      <c r="Q62" s="18" t="n">
        <f aca="false">M62+N62</f>
        <v>115426543</v>
      </c>
      <c r="R62" s="18" t="n">
        <f aca="false">O62+P62</f>
        <v>76164955</v>
      </c>
      <c r="S62" s="18" t="n">
        <f aca="false">Q62+R62-K62</f>
        <v>1</v>
      </c>
      <c r="T62" s="18" t="n">
        <f aca="false">IF(C62="Net à payer","",L62-E62-K62-IF(C62="Contrat",J62,0))</f>
        <v>0</v>
      </c>
    </row>
    <row r="63" customFormat="false" ht="15" hidden="false" customHeight="false" outlineLevel="0" collapsed="false">
      <c r="A63" s="14" t="n">
        <v>46021</v>
      </c>
      <c r="B63" s="15" t="s">
        <v>106</v>
      </c>
      <c r="C63" s="16" t="s">
        <v>38</v>
      </c>
      <c r="D63" s="15" t="s">
        <v>105</v>
      </c>
      <c r="E63" s="17" t="n">
        <v>266099302</v>
      </c>
      <c r="F63" s="17" t="n">
        <v>8015732</v>
      </c>
      <c r="G63" s="17" t="n">
        <v>152298910</v>
      </c>
      <c r="H63" s="17" t="n">
        <v>5289233</v>
      </c>
      <c r="I63" s="17" t="n">
        <v>100495426</v>
      </c>
      <c r="J63" s="17" t="n">
        <v>0</v>
      </c>
      <c r="K63" s="17" t="n">
        <v>47897874</v>
      </c>
      <c r="L63" s="17" t="n">
        <v>313997176</v>
      </c>
      <c r="M63" s="18" t="n">
        <f aca="false">ROUND(F63*$B$3,0)</f>
        <v>1442832</v>
      </c>
      <c r="N63" s="18" t="n">
        <f aca="false">ROUND(G63*$B$3,0)</f>
        <v>27413804</v>
      </c>
      <c r="O63" s="18" t="n">
        <f aca="false">ROUND(H63*$B$3,0)</f>
        <v>952062</v>
      </c>
      <c r="P63" s="18" t="n">
        <f aca="false">ROUND(I63*$B$3,0)</f>
        <v>18089177</v>
      </c>
      <c r="Q63" s="18" t="n">
        <f aca="false">M63+N63</f>
        <v>28856636</v>
      </c>
      <c r="R63" s="18" t="n">
        <f aca="false">O63+P63</f>
        <v>19041239</v>
      </c>
      <c r="S63" s="18" t="n">
        <f aca="false">Q63+R63-K63</f>
        <v>1</v>
      </c>
      <c r="T63" s="18" t="n">
        <f aca="false">IF(C63="Net à payer","",L63-E63-K63-IF(C63="Contrat",J63,0))</f>
        <v>0</v>
      </c>
    </row>
    <row r="64" customFormat="false" ht="15" hidden="false" customHeight="false" outlineLevel="0" collapsed="false">
      <c r="A64" s="14" t="n">
        <v>46021</v>
      </c>
      <c r="B64" s="15" t="s">
        <v>107</v>
      </c>
      <c r="C64" s="16" t="s">
        <v>40</v>
      </c>
      <c r="D64" s="15" t="s">
        <v>105</v>
      </c>
      <c r="E64" s="17" t="n">
        <v>53219860</v>
      </c>
      <c r="F64" s="17" t="n">
        <v>1603146</v>
      </c>
      <c r="G64" s="17" t="n">
        <v>30459782</v>
      </c>
      <c r="H64" s="17" t="n">
        <v>1057847</v>
      </c>
      <c r="I64" s="17" t="n">
        <v>20099085</v>
      </c>
      <c r="J64" s="17" t="n">
        <v>0</v>
      </c>
      <c r="K64" s="17" t="n">
        <v>9579575</v>
      </c>
      <c r="L64" s="17" t="n">
        <v>62799435</v>
      </c>
      <c r="M64" s="18" t="n">
        <f aca="false">ROUND(F64*$B$3,0)</f>
        <v>288566</v>
      </c>
      <c r="N64" s="18" t="n">
        <f aca="false">ROUND(G64*$B$3,0)</f>
        <v>5482761</v>
      </c>
      <c r="O64" s="18" t="n">
        <f aca="false">ROUND(H64*$B$3,0)</f>
        <v>190412</v>
      </c>
      <c r="P64" s="18" t="n">
        <f aca="false">ROUND(I64*$B$3,0)</f>
        <v>3617835</v>
      </c>
      <c r="Q64" s="18" t="n">
        <f aca="false">M64+N64</f>
        <v>5771327</v>
      </c>
      <c r="R64" s="18" t="n">
        <f aca="false">O64+P64</f>
        <v>3808247</v>
      </c>
      <c r="S64" s="18" t="n">
        <f aca="false">Q64+R64-K64</f>
        <v>-1</v>
      </c>
      <c r="T64" s="18" t="n">
        <f aca="false">IF(C64="Net à payer","",L64-E64-K64-IF(C64="Contrat",J64,0))</f>
        <v>0</v>
      </c>
    </row>
    <row r="65" customFormat="false" ht="15" hidden="false" customHeight="false" outlineLevel="0" collapsed="false">
      <c r="A65" s="14" t="n">
        <v>46021</v>
      </c>
      <c r="B65" s="15" t="s">
        <v>108</v>
      </c>
      <c r="C65" s="16" t="s">
        <v>101</v>
      </c>
      <c r="D65" s="15" t="s">
        <v>105</v>
      </c>
      <c r="E65" s="17" t="n">
        <v>151233895</v>
      </c>
      <c r="F65" s="17" t="n">
        <v>4555632</v>
      </c>
      <c r="G65" s="17" t="n">
        <v>86557000</v>
      </c>
      <c r="H65" s="17" t="n">
        <v>3006063</v>
      </c>
      <c r="I65" s="17" t="n">
        <v>57115200</v>
      </c>
      <c r="J65" s="17" t="n">
        <v>0</v>
      </c>
      <c r="K65" s="17" t="n">
        <v>27222101</v>
      </c>
      <c r="L65" s="17" t="n">
        <v>178455996</v>
      </c>
      <c r="M65" s="18" t="n">
        <f aca="false">ROUND(F65*$B$3,0)</f>
        <v>820014</v>
      </c>
      <c r="N65" s="18" t="n">
        <f aca="false">ROUND(G65*$B$3,0)</f>
        <v>15580260</v>
      </c>
      <c r="O65" s="18" t="n">
        <f aca="false">ROUND(H65*$B$3,0)</f>
        <v>541091</v>
      </c>
      <c r="P65" s="18" t="n">
        <f aca="false">ROUND(I65*$B$3,0)</f>
        <v>10280736</v>
      </c>
      <c r="Q65" s="18" t="n">
        <f aca="false">M65+N65</f>
        <v>16400274</v>
      </c>
      <c r="R65" s="18" t="n">
        <f aca="false">O65+P65</f>
        <v>10821827</v>
      </c>
      <c r="S65" s="18" t="n">
        <f aca="false">Q65+R65-K65</f>
        <v>0</v>
      </c>
      <c r="T65" s="18" t="n">
        <f aca="false">IF(C65="Net à payer","",L65-E65-K65-IF(C65="Contrat",J65,0))</f>
        <v>0</v>
      </c>
    </row>
    <row r="66" customFormat="false" ht="15" hidden="false" customHeight="false" outlineLevel="0" collapsed="false">
      <c r="A66" s="14" t="n">
        <v>46021</v>
      </c>
      <c r="B66" s="15" t="s">
        <v>109</v>
      </c>
      <c r="C66" s="16" t="s">
        <v>101</v>
      </c>
      <c r="D66" s="15" t="s">
        <v>105</v>
      </c>
      <c r="E66" s="17" t="n">
        <v>159892251</v>
      </c>
      <c r="F66" s="17" t="n">
        <v>4816448</v>
      </c>
      <c r="G66" s="17" t="n">
        <v>91512512</v>
      </c>
      <c r="H66" s="17" t="n">
        <v>3178165</v>
      </c>
      <c r="I66" s="17" t="n">
        <v>60385126</v>
      </c>
      <c r="J66" s="17" t="n">
        <v>0</v>
      </c>
      <c r="K66" s="17" t="n">
        <v>28780605</v>
      </c>
      <c r="L66" s="17" t="n">
        <v>188672856</v>
      </c>
      <c r="M66" s="18" t="n">
        <f aca="false">ROUND(F66*$B$3,0)</f>
        <v>866961</v>
      </c>
      <c r="N66" s="18" t="n">
        <f aca="false">ROUND(G66*$B$3,0)</f>
        <v>16472252</v>
      </c>
      <c r="O66" s="18" t="n">
        <f aca="false">ROUND(H66*$B$3,0)</f>
        <v>572070</v>
      </c>
      <c r="P66" s="18" t="n">
        <f aca="false">ROUND(I66*$B$3,0)</f>
        <v>10869323</v>
      </c>
      <c r="Q66" s="18" t="n">
        <f aca="false">M66+N66</f>
        <v>17339213</v>
      </c>
      <c r="R66" s="18" t="n">
        <f aca="false">O66+P66</f>
        <v>11441393</v>
      </c>
      <c r="S66" s="18" t="n">
        <f aca="false">Q66+R66-K66</f>
        <v>1</v>
      </c>
      <c r="T66" s="18" t="n">
        <f aca="false">IF(C66="Net à payer","",L66-E66-K66-IF(C66="Contrat",J66,0))</f>
        <v>0</v>
      </c>
    </row>
    <row r="67" customFormat="false" ht="15" hidden="false" customHeight="false" outlineLevel="0" collapsed="false">
      <c r="A67" s="19"/>
      <c r="B67" s="20" t="s">
        <v>110</v>
      </c>
      <c r="C67" s="21" t="s">
        <v>33</v>
      </c>
      <c r="D67" s="20"/>
      <c r="E67" s="22" t="n">
        <v>433951899</v>
      </c>
      <c r="F67" s="22" t="n">
        <v>13071970</v>
      </c>
      <c r="G67" s="22" t="n">
        <v>248367437</v>
      </c>
      <c r="H67" s="22" t="n">
        <v>8625625</v>
      </c>
      <c r="I67" s="22" t="n">
        <v>163886867</v>
      </c>
      <c r="J67" s="22" t="n">
        <v>0</v>
      </c>
      <c r="K67" s="22" t="n">
        <v>78111342</v>
      </c>
      <c r="L67" s="22" t="n">
        <v>512063241</v>
      </c>
      <c r="M67" s="23" t="n">
        <f aca="false">ROUND(F67*$B$3,0)</f>
        <v>2352955</v>
      </c>
      <c r="N67" s="23" t="n">
        <f aca="false">ROUND(G67*$B$3,0)</f>
        <v>44706139</v>
      </c>
      <c r="O67" s="23" t="n">
        <f aca="false">ROUND(H67*$B$3,0)</f>
        <v>1552613</v>
      </c>
      <c r="P67" s="23" t="n">
        <f aca="false">ROUND(I67*$B$3,0)</f>
        <v>29499636</v>
      </c>
      <c r="Q67" s="23" t="n">
        <f aca="false">M67+N67</f>
        <v>47059094</v>
      </c>
      <c r="R67" s="23" t="n">
        <f aca="false">O67+P67</f>
        <v>31052249</v>
      </c>
      <c r="S67" s="23" t="n">
        <f aca="false">Q67+R67-K67</f>
        <v>1</v>
      </c>
      <c r="T67" s="23" t="str">
        <f aca="false">IF(C67="Net à payer","",L67-E67-K67-IF(C67="Contrat",J67,0))</f>
        <v/>
      </c>
    </row>
    <row r="68" customFormat="false" ht="15" hidden="false" customHeight="false" outlineLevel="0" collapsed="false">
      <c r="A68" s="14" t="n">
        <v>46147</v>
      </c>
      <c r="B68" s="15" t="s">
        <v>111</v>
      </c>
      <c r="C68" s="16" t="s">
        <v>35</v>
      </c>
      <c r="D68" s="15" t="s">
        <v>112</v>
      </c>
      <c r="E68" s="17" t="n">
        <v>2304137863</v>
      </c>
      <c r="F68" s="17" t="n">
        <v>64813907</v>
      </c>
      <c r="G68" s="17" t="n">
        <v>1231464231</v>
      </c>
      <c r="H68" s="17" t="n">
        <v>50392986</v>
      </c>
      <c r="I68" s="17" t="n">
        <v>957466739</v>
      </c>
      <c r="J68" s="17" t="n">
        <v>0</v>
      </c>
      <c r="K68" s="17" t="n">
        <v>414744815</v>
      </c>
      <c r="L68" s="17" t="n">
        <v>2718882678</v>
      </c>
      <c r="M68" s="18" t="n">
        <f aca="false">ROUND(F68*$B$3,0)</f>
        <v>11666503</v>
      </c>
      <c r="N68" s="18" t="n">
        <f aca="false">ROUND(G68*$B$3,0)</f>
        <v>221663562</v>
      </c>
      <c r="O68" s="18" t="n">
        <f aca="false">ROUND(H68*$B$3,0)</f>
        <v>9070737</v>
      </c>
      <c r="P68" s="18" t="n">
        <f aca="false">ROUND(I68*$B$3,0)</f>
        <v>172344013</v>
      </c>
      <c r="Q68" s="18" t="n">
        <f aca="false">M68+N68</f>
        <v>233330065</v>
      </c>
      <c r="R68" s="18" t="n">
        <f aca="false">O68+P68</f>
        <v>181414750</v>
      </c>
      <c r="S68" s="18" t="n">
        <f aca="false">Q68+R68-K68</f>
        <v>0</v>
      </c>
      <c r="T68" s="18" t="n">
        <f aca="false">IF(C68="Net à payer","",L68-E68-K68-IF(C68="Contrat",J68,0))</f>
        <v>0</v>
      </c>
    </row>
    <row r="69" customFormat="false" ht="15" hidden="false" customHeight="false" outlineLevel="0" collapsed="false">
      <c r="A69" s="14" t="n">
        <v>46147</v>
      </c>
      <c r="B69" s="15" t="s">
        <v>113</v>
      </c>
      <c r="C69" s="16" t="s">
        <v>38</v>
      </c>
      <c r="D69" s="15" t="s">
        <v>112</v>
      </c>
      <c r="E69" s="17" t="n">
        <v>576034466</v>
      </c>
      <c r="F69" s="17" t="n">
        <v>16203477</v>
      </c>
      <c r="G69" s="17" t="n">
        <v>307866058</v>
      </c>
      <c r="H69" s="17" t="n">
        <v>12598247</v>
      </c>
      <c r="I69" s="17" t="n">
        <v>239366685</v>
      </c>
      <c r="J69" s="17" t="n">
        <v>0</v>
      </c>
      <c r="K69" s="17" t="n">
        <v>103686204</v>
      </c>
      <c r="L69" s="17" t="n">
        <v>679720670</v>
      </c>
      <c r="M69" s="18" t="n">
        <f aca="false">ROUND(F69*$B$3,0)</f>
        <v>2916626</v>
      </c>
      <c r="N69" s="18" t="n">
        <f aca="false">ROUND(G69*$B$3,0)</f>
        <v>55415890</v>
      </c>
      <c r="O69" s="18" t="n">
        <f aca="false">ROUND(H69*$B$3,0)</f>
        <v>2267684</v>
      </c>
      <c r="P69" s="18" t="n">
        <f aca="false">ROUND(I69*$B$3,0)</f>
        <v>43086003</v>
      </c>
      <c r="Q69" s="18" t="n">
        <f aca="false">M69+N69</f>
        <v>58332516</v>
      </c>
      <c r="R69" s="18" t="n">
        <f aca="false">O69+P69</f>
        <v>45353687</v>
      </c>
      <c r="S69" s="18" t="n">
        <f aca="false">Q69+R69-K69</f>
        <v>-1</v>
      </c>
      <c r="T69" s="18" t="n">
        <f aca="false">IF(C69="Net à payer","",L69-E69-K69-IF(C69="Contrat",J69,0))</f>
        <v>0</v>
      </c>
    </row>
    <row r="70" customFormat="false" ht="15" hidden="false" customHeight="false" outlineLevel="0" collapsed="false">
      <c r="A70" s="14" t="n">
        <v>46147</v>
      </c>
      <c r="B70" s="15" t="s">
        <v>114</v>
      </c>
      <c r="C70" s="16" t="s">
        <v>40</v>
      </c>
      <c r="D70" s="15" t="s">
        <v>112</v>
      </c>
      <c r="E70" s="17" t="n">
        <v>115206893</v>
      </c>
      <c r="F70" s="17" t="n">
        <v>3240695</v>
      </c>
      <c r="G70" s="17" t="n">
        <v>61573212</v>
      </c>
      <c r="H70" s="17" t="n">
        <v>2519649</v>
      </c>
      <c r="I70" s="17" t="n">
        <v>47873337</v>
      </c>
      <c r="J70" s="17" t="n">
        <v>0</v>
      </c>
      <c r="K70" s="17" t="n">
        <v>20737241</v>
      </c>
      <c r="L70" s="17" t="n">
        <v>135944134</v>
      </c>
      <c r="M70" s="18" t="n">
        <f aca="false">ROUND(F70*$B$3,0)</f>
        <v>583325</v>
      </c>
      <c r="N70" s="18" t="n">
        <f aca="false">ROUND(G70*$B$3,0)</f>
        <v>11083178</v>
      </c>
      <c r="O70" s="18" t="n">
        <f aca="false">ROUND(H70*$B$3,0)</f>
        <v>453537</v>
      </c>
      <c r="P70" s="18" t="n">
        <f aca="false">ROUND(I70*$B$3,0)</f>
        <v>8617201</v>
      </c>
      <c r="Q70" s="18" t="n">
        <f aca="false">M70+N70</f>
        <v>11666503</v>
      </c>
      <c r="R70" s="18" t="n">
        <f aca="false">O70+P70</f>
        <v>9070738</v>
      </c>
      <c r="S70" s="18" t="n">
        <f aca="false">Q70+R70-K70</f>
        <v>0</v>
      </c>
      <c r="T70" s="18" t="n">
        <f aca="false">IF(C70="Net à payer","",L70-E70-K70-IF(C70="Contrat",J70,0))</f>
        <v>0</v>
      </c>
    </row>
    <row r="71" customFormat="false" ht="15" hidden="false" customHeight="false" outlineLevel="0" collapsed="false">
      <c r="A71" s="14" t="n">
        <v>46147</v>
      </c>
      <c r="B71" s="15" t="s">
        <v>115</v>
      </c>
      <c r="C71" s="16" t="s">
        <v>101</v>
      </c>
      <c r="D71" s="15" t="s">
        <v>112</v>
      </c>
      <c r="E71" s="17" t="n">
        <v>327381302</v>
      </c>
      <c r="F71" s="17" t="n">
        <v>9209024</v>
      </c>
      <c r="G71" s="17" t="n">
        <v>174971459</v>
      </c>
      <c r="H71" s="17" t="n">
        <v>7160041</v>
      </c>
      <c r="I71" s="17" t="n">
        <v>136040778</v>
      </c>
      <c r="J71" s="17" t="n">
        <v>0</v>
      </c>
      <c r="K71" s="17" t="n">
        <v>58928634</v>
      </c>
      <c r="L71" s="17" t="n">
        <v>386309936</v>
      </c>
      <c r="M71" s="18" t="n">
        <f aca="false">ROUND(F71*$B$3,0)</f>
        <v>1657624</v>
      </c>
      <c r="N71" s="18" t="n">
        <f aca="false">ROUND(G71*$B$3,0)</f>
        <v>31494863</v>
      </c>
      <c r="O71" s="18" t="n">
        <f aca="false">ROUND(H71*$B$3,0)</f>
        <v>1288807</v>
      </c>
      <c r="P71" s="18" t="n">
        <f aca="false">ROUND(I71*$B$3,0)</f>
        <v>24487340</v>
      </c>
      <c r="Q71" s="18" t="n">
        <f aca="false">M71+N71</f>
        <v>33152487</v>
      </c>
      <c r="R71" s="18" t="n">
        <f aca="false">O71+P71</f>
        <v>25776147</v>
      </c>
      <c r="S71" s="18" t="n">
        <f aca="false">Q71+R71-K71</f>
        <v>0</v>
      </c>
      <c r="T71" s="18" t="n">
        <f aca="false">IF(C71="Net à payer","",L71-E71-K71-IF(C71="Contrat",J71,0))</f>
        <v>0</v>
      </c>
    </row>
    <row r="72" customFormat="false" ht="15" hidden="false" customHeight="false" outlineLevel="0" collapsed="false">
      <c r="A72" s="14" t="n">
        <v>46147</v>
      </c>
      <c r="B72" s="15" t="s">
        <v>116</v>
      </c>
      <c r="C72" s="16" t="s">
        <v>101</v>
      </c>
      <c r="D72" s="15" t="s">
        <v>112</v>
      </c>
      <c r="E72" s="17" t="n">
        <v>346124349</v>
      </c>
      <c r="F72" s="17" t="n">
        <v>9736254</v>
      </c>
      <c r="G72" s="17" t="n">
        <v>184988825</v>
      </c>
      <c r="H72" s="17" t="n">
        <v>7569964</v>
      </c>
      <c r="I72" s="17" t="n">
        <v>143829307</v>
      </c>
      <c r="J72" s="17" t="n">
        <v>0</v>
      </c>
      <c r="K72" s="17" t="n">
        <v>62302383</v>
      </c>
      <c r="L72" s="17" t="n">
        <v>408426732</v>
      </c>
      <c r="M72" s="18" t="n">
        <f aca="false">ROUND(F72*$B$3,0)</f>
        <v>1752526</v>
      </c>
      <c r="N72" s="18" t="n">
        <f aca="false">ROUND(G72*$B$3,0)</f>
        <v>33297989</v>
      </c>
      <c r="O72" s="18" t="n">
        <f aca="false">ROUND(H72*$B$3,0)</f>
        <v>1362594</v>
      </c>
      <c r="P72" s="18" t="n">
        <f aca="false">ROUND(I72*$B$3,0)</f>
        <v>25889275</v>
      </c>
      <c r="Q72" s="18" t="n">
        <f aca="false">M72+N72</f>
        <v>35050515</v>
      </c>
      <c r="R72" s="18" t="n">
        <f aca="false">O72+P72</f>
        <v>27251869</v>
      </c>
      <c r="S72" s="18" t="n">
        <f aca="false">Q72+R72-K72</f>
        <v>1</v>
      </c>
      <c r="T72" s="18" t="n">
        <f aca="false">IF(C72="Net à payer","",L72-E72-K72-IF(C72="Contrat",J72,0))</f>
        <v>0</v>
      </c>
    </row>
    <row r="73" customFormat="false" ht="15" hidden="false" customHeight="false" outlineLevel="0" collapsed="false">
      <c r="A73" s="19"/>
      <c r="B73" s="20" t="s">
        <v>117</v>
      </c>
      <c r="C73" s="21" t="s">
        <v>33</v>
      </c>
      <c r="D73" s="20"/>
      <c r="E73" s="22" t="n">
        <v>939390853</v>
      </c>
      <c r="F73" s="22" t="n">
        <v>26424457</v>
      </c>
      <c r="G73" s="22" t="n">
        <v>502064678</v>
      </c>
      <c r="H73" s="22" t="n">
        <v>20545086</v>
      </c>
      <c r="I73" s="22" t="n">
        <v>390356633</v>
      </c>
      <c r="J73" s="22" t="n">
        <v>0</v>
      </c>
      <c r="K73" s="22" t="n">
        <v>169090354</v>
      </c>
      <c r="L73" s="22" t="n">
        <v>1108481207</v>
      </c>
      <c r="M73" s="23" t="n">
        <f aca="false">ROUND(F73*$B$3,0)</f>
        <v>4756402</v>
      </c>
      <c r="N73" s="23" t="n">
        <f aca="false">ROUND(G73*$B$3,0)</f>
        <v>90371642</v>
      </c>
      <c r="O73" s="23" t="n">
        <f aca="false">ROUND(H73*$B$3,0)</f>
        <v>3698115</v>
      </c>
      <c r="P73" s="23" t="n">
        <f aca="false">ROUND(I73*$B$3,0)</f>
        <v>70264194</v>
      </c>
      <c r="Q73" s="23" t="n">
        <f aca="false">M73+N73</f>
        <v>95128044</v>
      </c>
      <c r="R73" s="23" t="n">
        <f aca="false">O73+P73</f>
        <v>73962309</v>
      </c>
      <c r="S73" s="23" t="n">
        <f aca="false">Q73+R73-K73</f>
        <v>-1</v>
      </c>
      <c r="T73" s="23" t="str">
        <f aca="false">IF(C73="Net à payer","",L73-E73-K73-IF(C73="Contrat",J73,0))</f>
        <v/>
      </c>
    </row>
    <row r="74" customFormat="false" ht="15" hidden="false" customHeight="false" outlineLevel="0" collapsed="false">
      <c r="A74" s="14" t="n">
        <v>46303</v>
      </c>
      <c r="B74" s="15" t="s">
        <v>118</v>
      </c>
      <c r="C74" s="16" t="s">
        <v>35</v>
      </c>
      <c r="D74" s="15" t="s">
        <v>119</v>
      </c>
      <c r="E74" s="17" t="n">
        <v>1107995092</v>
      </c>
      <c r="F74" s="17" t="n">
        <v>23285887</v>
      </c>
      <c r="G74" s="17" t="n">
        <v>442431851</v>
      </c>
      <c r="H74" s="17" t="n">
        <v>32113868</v>
      </c>
      <c r="I74" s="17" t="n">
        <v>610163486</v>
      </c>
      <c r="J74" s="17" t="n">
        <v>0</v>
      </c>
      <c r="K74" s="17" t="n">
        <v>199439117</v>
      </c>
      <c r="L74" s="17" t="n">
        <v>1307434209</v>
      </c>
      <c r="M74" s="18" t="n">
        <f aca="false">ROUND(F74*$B$3,0)</f>
        <v>4191460</v>
      </c>
      <c r="N74" s="18" t="n">
        <f aca="false">ROUND(G74*$B$3,0)</f>
        <v>79637733</v>
      </c>
      <c r="O74" s="18" t="n">
        <f aca="false">ROUND(H74*$B$3,0)</f>
        <v>5780496</v>
      </c>
      <c r="P74" s="18" t="n">
        <f aca="false">ROUND(I74*$B$3,0)</f>
        <v>109829427</v>
      </c>
      <c r="Q74" s="18" t="n">
        <f aca="false">M74+N74</f>
        <v>83829193</v>
      </c>
      <c r="R74" s="18" t="n">
        <f aca="false">O74+P74</f>
        <v>115609923</v>
      </c>
      <c r="S74" s="18" t="n">
        <f aca="false">Q74+R74-K74</f>
        <v>-1</v>
      </c>
      <c r="T74" s="18" t="n">
        <f aca="false">IF(C74="Net à payer","",L74-E74-K74-IF(C74="Contrat",J74,0))</f>
        <v>0</v>
      </c>
    </row>
    <row r="75" customFormat="false" ht="15" hidden="false" customHeight="false" outlineLevel="0" collapsed="false">
      <c r="A75" s="14" t="n">
        <v>46303</v>
      </c>
      <c r="B75" s="15" t="s">
        <v>120</v>
      </c>
      <c r="C75" s="16" t="s">
        <v>38</v>
      </c>
      <c r="D75" s="15" t="s">
        <v>119</v>
      </c>
      <c r="E75" s="17" t="n">
        <v>276998773</v>
      </c>
      <c r="F75" s="17" t="n">
        <v>5821472</v>
      </c>
      <c r="G75" s="17" t="n">
        <v>110607963</v>
      </c>
      <c r="H75" s="17" t="n">
        <v>8028467</v>
      </c>
      <c r="I75" s="17" t="n">
        <v>152540872</v>
      </c>
      <c r="J75" s="17" t="n">
        <v>0</v>
      </c>
      <c r="K75" s="17" t="n">
        <v>49859779</v>
      </c>
      <c r="L75" s="17" t="n">
        <v>326858552</v>
      </c>
      <c r="M75" s="18" t="n">
        <f aca="false">ROUND(F75*$B$3,0)</f>
        <v>1047865</v>
      </c>
      <c r="N75" s="18" t="n">
        <f aca="false">ROUND(G75*$B$3,0)</f>
        <v>19909433</v>
      </c>
      <c r="O75" s="18" t="n">
        <f aca="false">ROUND(H75*$B$3,0)</f>
        <v>1445124</v>
      </c>
      <c r="P75" s="18" t="n">
        <f aca="false">ROUND(I75*$B$3,0)</f>
        <v>27457357</v>
      </c>
      <c r="Q75" s="18" t="n">
        <f aca="false">M75+N75</f>
        <v>20957298</v>
      </c>
      <c r="R75" s="18" t="n">
        <f aca="false">O75+P75</f>
        <v>28902481</v>
      </c>
      <c r="S75" s="18" t="n">
        <f aca="false">Q75+R75-K75</f>
        <v>0</v>
      </c>
      <c r="T75" s="18" t="n">
        <f aca="false">IF(C75="Net à payer","",L75-E75-K75-IF(C75="Contrat",J75,0))</f>
        <v>0</v>
      </c>
    </row>
    <row r="76" customFormat="false" ht="15" hidden="false" customHeight="false" outlineLevel="0" collapsed="false">
      <c r="A76" s="14" t="n">
        <v>46303</v>
      </c>
      <c r="B76" s="15" t="s">
        <v>121</v>
      </c>
      <c r="C76" s="16" t="s">
        <v>40</v>
      </c>
      <c r="D76" s="15" t="s">
        <v>119</v>
      </c>
      <c r="E76" s="17" t="n">
        <v>55399755</v>
      </c>
      <c r="F76" s="17" t="n">
        <v>1164294</v>
      </c>
      <c r="G76" s="17" t="n">
        <v>22121593</v>
      </c>
      <c r="H76" s="17" t="n">
        <v>1605693</v>
      </c>
      <c r="I76" s="17" t="n">
        <v>30508174</v>
      </c>
      <c r="J76" s="17" t="n">
        <v>0</v>
      </c>
      <c r="K76" s="17" t="n">
        <v>9971956</v>
      </c>
      <c r="L76" s="17" t="n">
        <v>65371710</v>
      </c>
      <c r="M76" s="18" t="n">
        <f aca="false">ROUND(F76*$B$3,0)</f>
        <v>209573</v>
      </c>
      <c r="N76" s="18" t="n">
        <f aca="false">ROUND(G76*$B$3,0)</f>
        <v>3981887</v>
      </c>
      <c r="O76" s="18" t="n">
        <f aca="false">ROUND(H76*$B$3,0)</f>
        <v>289025</v>
      </c>
      <c r="P76" s="18" t="n">
        <f aca="false">ROUND(I76*$B$3,0)</f>
        <v>5491471</v>
      </c>
      <c r="Q76" s="18" t="n">
        <f aca="false">M76+N76</f>
        <v>4191460</v>
      </c>
      <c r="R76" s="18" t="n">
        <f aca="false">O76+P76</f>
        <v>5780496</v>
      </c>
      <c r="S76" s="18" t="n">
        <f aca="false">Q76+R76-K76</f>
        <v>0</v>
      </c>
      <c r="T76" s="18" t="n">
        <f aca="false">IF(C76="Net à payer","",L76-E76-K76-IF(C76="Contrat",J76,0))</f>
        <v>-1</v>
      </c>
    </row>
    <row r="77" customFormat="false" ht="15" hidden="false" customHeight="false" outlineLevel="0" collapsed="false">
      <c r="A77" s="14" t="n">
        <v>46303</v>
      </c>
      <c r="B77" s="15" t="s">
        <v>122</v>
      </c>
      <c r="C77" s="16" t="s">
        <v>101</v>
      </c>
      <c r="D77" s="15" t="s">
        <v>119</v>
      </c>
      <c r="E77" s="17" t="n">
        <v>157428460</v>
      </c>
      <c r="F77" s="17" t="n">
        <v>3308554</v>
      </c>
      <c r="G77" s="17" t="n">
        <v>62862521</v>
      </c>
      <c r="H77" s="17" t="n">
        <v>4562869</v>
      </c>
      <c r="I77" s="17" t="n">
        <v>86694516</v>
      </c>
      <c r="J77" s="17" t="n">
        <v>0</v>
      </c>
      <c r="K77" s="17" t="n">
        <v>28337123</v>
      </c>
      <c r="L77" s="17" t="n">
        <v>185765583</v>
      </c>
      <c r="M77" s="18" t="n">
        <f aca="false">ROUND(F77*$B$3,0)</f>
        <v>595540</v>
      </c>
      <c r="N77" s="18" t="n">
        <f aca="false">ROUND(G77*$B$3,0)</f>
        <v>11315254</v>
      </c>
      <c r="O77" s="18" t="n">
        <f aca="false">ROUND(H77*$B$3,0)</f>
        <v>821316</v>
      </c>
      <c r="P77" s="18" t="n">
        <f aca="false">ROUND(I77*$B$3,0)</f>
        <v>15605013</v>
      </c>
      <c r="Q77" s="18" t="n">
        <f aca="false">M77+N77</f>
        <v>11910794</v>
      </c>
      <c r="R77" s="18" t="n">
        <f aca="false">O77+P77</f>
        <v>16426329</v>
      </c>
      <c r="S77" s="18" t="n">
        <f aca="false">Q77+R77-K77</f>
        <v>0</v>
      </c>
      <c r="T77" s="18" t="n">
        <f aca="false">IF(C77="Net à payer","",L77-E77-K77-IF(C77="Contrat",J77,0))</f>
        <v>0</v>
      </c>
    </row>
    <row r="78" customFormat="false" ht="15" hidden="false" customHeight="false" outlineLevel="0" collapsed="false">
      <c r="A78" s="14" t="n">
        <v>46303</v>
      </c>
      <c r="B78" s="15" t="s">
        <v>123</v>
      </c>
      <c r="C78" s="16" t="s">
        <v>101</v>
      </c>
      <c r="D78" s="15" t="s">
        <v>119</v>
      </c>
      <c r="E78" s="17" t="n">
        <v>166441464</v>
      </c>
      <c r="F78" s="17" t="n">
        <v>3497973</v>
      </c>
      <c r="G78" s="17" t="n">
        <v>66461490</v>
      </c>
      <c r="H78" s="17" t="n">
        <v>4824100</v>
      </c>
      <c r="I78" s="17" t="n">
        <v>91657901</v>
      </c>
      <c r="J78" s="17" t="n">
        <v>0</v>
      </c>
      <c r="K78" s="17" t="n">
        <v>29959464</v>
      </c>
      <c r="L78" s="17" t="n">
        <v>196400928</v>
      </c>
      <c r="M78" s="18" t="n">
        <f aca="false">ROUND(F78*$B$3,0)</f>
        <v>629635</v>
      </c>
      <c r="N78" s="18" t="n">
        <f aca="false">ROUND(G78*$B$3,0)</f>
        <v>11963068</v>
      </c>
      <c r="O78" s="18" t="n">
        <f aca="false">ROUND(H78*$B$3,0)</f>
        <v>868338</v>
      </c>
      <c r="P78" s="18" t="n">
        <f aca="false">ROUND(I78*$B$3,0)</f>
        <v>16498422</v>
      </c>
      <c r="Q78" s="18" t="n">
        <f aca="false">M78+N78</f>
        <v>12592703</v>
      </c>
      <c r="R78" s="18" t="n">
        <f aca="false">O78+P78</f>
        <v>17366760</v>
      </c>
      <c r="S78" s="18" t="n">
        <f aca="false">Q78+R78-K78</f>
        <v>-1</v>
      </c>
      <c r="T78" s="18" t="n">
        <f aca="false">IF(C78="Net à payer","",L78-E78-K78-IF(C78="Contrat",J78,0))</f>
        <v>0</v>
      </c>
    </row>
    <row r="79" customFormat="false" ht="15" hidden="false" customHeight="false" outlineLevel="0" collapsed="false">
      <c r="A79" s="19"/>
      <c r="B79" s="20" t="s">
        <v>124</v>
      </c>
      <c r="C79" s="21" t="s">
        <v>33</v>
      </c>
      <c r="D79" s="20"/>
      <c r="E79" s="22" t="n">
        <v>451726640</v>
      </c>
      <c r="F79" s="22" t="n">
        <v>9493594</v>
      </c>
      <c r="G79" s="22" t="n">
        <v>180378285</v>
      </c>
      <c r="H79" s="22" t="n">
        <v>13092738</v>
      </c>
      <c r="I79" s="22" t="n">
        <v>248762024</v>
      </c>
      <c r="J79" s="22" t="n">
        <v>0</v>
      </c>
      <c r="K79" s="22" t="n">
        <v>81310795</v>
      </c>
      <c r="L79" s="22" t="n">
        <v>533037436</v>
      </c>
      <c r="M79" s="23" t="n">
        <f aca="false">ROUND(F79*$B$3,0)</f>
        <v>1708847</v>
      </c>
      <c r="N79" s="23" t="n">
        <f aca="false">ROUND(G79*$B$3,0)</f>
        <v>32468091</v>
      </c>
      <c r="O79" s="23" t="n">
        <f aca="false">ROUND(H79*$B$3,0)</f>
        <v>2356693</v>
      </c>
      <c r="P79" s="23" t="n">
        <f aca="false">ROUND(I79*$B$3,0)</f>
        <v>44777164</v>
      </c>
      <c r="Q79" s="23" t="n">
        <f aca="false">M79+N79</f>
        <v>34176938</v>
      </c>
      <c r="R79" s="23" t="n">
        <f aca="false">O79+P79</f>
        <v>47133857</v>
      </c>
      <c r="S79" s="23" t="n">
        <f aca="false">Q79+R79-K79</f>
        <v>0</v>
      </c>
      <c r="T79" s="23" t="str">
        <f aca="false">IF(C79="Net à payer","",L79-E79-K79-IF(C79="Contrat",J79,0))</f>
        <v/>
      </c>
    </row>
    <row r="81" customFormat="false" ht="15" hidden="false" customHeight="false" outlineLevel="0" collapsed="false">
      <c r="A81" s="9"/>
      <c r="B81" s="10" t="s">
        <v>125</v>
      </c>
      <c r="C81" s="11" t="s">
        <v>126</v>
      </c>
      <c r="D81" s="10"/>
      <c r="E81" s="12" t="n">
        <v>10977747877</v>
      </c>
      <c r="F81" s="12" t="n">
        <v>399268520</v>
      </c>
      <c r="G81" s="12" t="n">
        <v>7586101876</v>
      </c>
      <c r="H81" s="12" t="n">
        <v>149618874</v>
      </c>
      <c r="I81" s="12" t="n">
        <v>2842758607</v>
      </c>
      <c r="J81" s="12" t="n">
        <v>0</v>
      </c>
      <c r="K81" s="12" t="n">
        <v>1975994618</v>
      </c>
      <c r="L81" s="12" t="n">
        <v>12953742495</v>
      </c>
      <c r="M81" s="13" t="n">
        <f aca="false">ROUND(F81*$B$3,0)</f>
        <v>71868334</v>
      </c>
      <c r="N81" s="13" t="n">
        <f aca="false">ROUND(G81*$B$3,0)</f>
        <v>1365498338</v>
      </c>
      <c r="O81" s="13" t="n">
        <f aca="false">ROUND(H81*$B$3,0)</f>
        <v>26931397</v>
      </c>
      <c r="P81" s="13" t="n">
        <f aca="false">ROUND(I81*$B$3,0)</f>
        <v>511696549</v>
      </c>
      <c r="Q81" s="13" t="n">
        <f aca="false">M81+N81</f>
        <v>1437366672</v>
      </c>
      <c r="R81" s="13" t="n">
        <f aca="false">O81+P81</f>
        <v>538627946</v>
      </c>
      <c r="S81" s="13" t="n">
        <f aca="false">Q81+R81-K81</f>
        <v>0</v>
      </c>
      <c r="T81" s="13" t="n">
        <f aca="false">IF(C81="Net à payer","",L81-E81-K81-IF(C81="Contrat",J81,0))</f>
        <v>0</v>
      </c>
    </row>
    <row r="82" customFormat="false" ht="15" hidden="false" customHeight="false" outlineLevel="0" collapsed="false">
      <c r="A82" s="9"/>
      <c r="B82" s="10" t="s">
        <v>127</v>
      </c>
      <c r="C82" s="11" t="s">
        <v>126</v>
      </c>
      <c r="D82" s="10"/>
      <c r="E82" s="12" t="n">
        <v>2744436969</v>
      </c>
      <c r="F82" s="12" t="n">
        <v>99817130</v>
      </c>
      <c r="G82" s="12" t="n">
        <v>1896525469</v>
      </c>
      <c r="H82" s="12" t="n">
        <v>37404719</v>
      </c>
      <c r="I82" s="12" t="n">
        <v>710689652</v>
      </c>
      <c r="J82" s="12" t="n">
        <v>0</v>
      </c>
      <c r="K82" s="12" t="n">
        <v>492328404</v>
      </c>
      <c r="L82" s="12" t="n">
        <v>3120613875</v>
      </c>
      <c r="M82" s="13" t="n">
        <f aca="false">ROUND(F82*$B$3,0)</f>
        <v>17967083</v>
      </c>
      <c r="N82" s="13" t="n">
        <f aca="false">ROUND(G82*$B$3,0)</f>
        <v>341374584</v>
      </c>
      <c r="O82" s="13" t="n">
        <f aca="false">ROUND(H82*$B$3,0)</f>
        <v>6732849</v>
      </c>
      <c r="P82" s="13" t="n">
        <f aca="false">ROUND(I82*$B$3,0)</f>
        <v>127924137</v>
      </c>
      <c r="Q82" s="13" t="n">
        <f aca="false">M82+N82</f>
        <v>359341667</v>
      </c>
      <c r="R82" s="13" t="n">
        <f aca="false">O82+P82</f>
        <v>134656986</v>
      </c>
      <c r="S82" s="13" t="n">
        <f aca="false">Q82+R82-K82</f>
        <v>1670249</v>
      </c>
      <c r="T82" s="13" t="n">
        <f aca="false">IF(C82="Net à payer","",L82-E82-K82-IF(C82="Contrat",J82,0))</f>
        <v>-116151498</v>
      </c>
    </row>
    <row r="83" customFormat="false" ht="15" hidden="false" customHeight="false" outlineLevel="0" collapsed="false">
      <c r="A83" s="9"/>
      <c r="B83" s="10" t="s">
        <v>128</v>
      </c>
      <c r="C83" s="11" t="s">
        <v>126</v>
      </c>
      <c r="D83" s="10"/>
      <c r="E83" s="12" t="n">
        <v>4090644963</v>
      </c>
      <c r="F83" s="12" t="n">
        <v>155344813</v>
      </c>
      <c r="G83" s="12" t="n">
        <v>2951551455</v>
      </c>
      <c r="H83" s="12" t="n">
        <v>49187435</v>
      </c>
      <c r="I83" s="12" t="n">
        <v>934561260</v>
      </c>
      <c r="J83" s="12" t="n">
        <v>0</v>
      </c>
      <c r="K83" s="12" t="n">
        <v>736316093</v>
      </c>
      <c r="L83" s="12" t="n">
        <v>4826961056</v>
      </c>
      <c r="M83" s="13" t="n">
        <f aca="false">ROUND(F83*$B$3,0)</f>
        <v>27962066</v>
      </c>
      <c r="N83" s="13" t="n">
        <f aca="false">ROUND(G83*$B$3,0)</f>
        <v>531279262</v>
      </c>
      <c r="O83" s="13" t="n">
        <f aca="false">ROUND(H83*$B$3,0)</f>
        <v>8853738</v>
      </c>
      <c r="P83" s="13" t="n">
        <f aca="false">ROUND(I83*$B$3,0)</f>
        <v>168221027</v>
      </c>
      <c r="Q83" s="13" t="n">
        <f aca="false">M83+N83</f>
        <v>559241328</v>
      </c>
      <c r="R83" s="13" t="n">
        <f aca="false">O83+P83</f>
        <v>177074765</v>
      </c>
      <c r="S83" s="13" t="n">
        <f aca="false">Q83+R83-K83</f>
        <v>0</v>
      </c>
      <c r="T83" s="13" t="n">
        <f aca="false">IF(C83="Net à payer","",L83-E83-K83-IF(C83="Contrat",J83,0))</f>
        <v>0</v>
      </c>
    </row>
    <row r="84" customFormat="false" ht="15" hidden="false" customHeight="false" outlineLevel="0" collapsed="false">
      <c r="A84" s="9"/>
      <c r="B84" s="10" t="s">
        <v>129</v>
      </c>
      <c r="C84" s="11" t="s">
        <v>126</v>
      </c>
      <c r="D84" s="10"/>
      <c r="E84" s="12" t="n">
        <v>16769252123</v>
      </c>
      <c r="F84" s="12" t="n">
        <v>571876480</v>
      </c>
      <c r="G84" s="12" t="n">
        <v>10865653124</v>
      </c>
      <c r="H84" s="12" t="n">
        <v>266586126</v>
      </c>
      <c r="I84" s="12" t="n">
        <v>5065136393</v>
      </c>
      <c r="J84" s="12" t="n">
        <v>0</v>
      </c>
      <c r="K84" s="12" t="n">
        <v>3282458671</v>
      </c>
      <c r="L84" s="12" t="n">
        <v>21518340178</v>
      </c>
      <c r="M84" s="13" t="n">
        <f aca="false">ROUND(F84*$B$3,0)</f>
        <v>102937766</v>
      </c>
      <c r="N84" s="13" t="n">
        <f aca="false">ROUND(G84*$B$3,0)</f>
        <v>1955817562</v>
      </c>
      <c r="O84" s="13" t="n">
        <f aca="false">ROUND(H84*$B$3,0)</f>
        <v>47985503</v>
      </c>
      <c r="P84" s="13" t="n">
        <f aca="false">ROUND(I84*$B$3,0)</f>
        <v>911724551</v>
      </c>
      <c r="Q84" s="13" t="n">
        <f aca="false">M84+N84</f>
        <v>2058755328</v>
      </c>
      <c r="R84" s="13" t="n">
        <f aca="false">O84+P84</f>
        <v>959710054</v>
      </c>
      <c r="S84" s="13" t="n">
        <f aca="false">Q84+R84-K84</f>
        <v>-263993289</v>
      </c>
      <c r="T84" s="13" t="n">
        <f aca="false">IF(C84="Net à payer","",L84-E84-K84-IF(C84="Contrat",J84,0))</f>
        <v>1466629384</v>
      </c>
    </row>
    <row r="86" customFormat="false" ht="15" hidden="false" customHeight="false" outlineLevel="0" collapsed="false">
      <c r="A86" s="2" t="s">
        <v>130</v>
      </c>
    </row>
  </sheetData>
  <autoFilter ref="A7:T79"/>
  <mergeCells count="6">
    <mergeCell ref="A6:D6"/>
    <mergeCell ref="F6:G6"/>
    <mergeCell ref="H6:I6"/>
    <mergeCell ref="J6:L6"/>
    <mergeCell ref="M6:R6"/>
    <mergeCell ref="S6:T6"/>
  </mergeCells>
  <conditionalFormatting sqref="S8:T84">
    <cfRule type="expression" priority="2" aboveAverage="0" equalAverage="0" bottom="0" percent="0" rank="0" text="" dxfId="9">
      <formula>AND(ISNUMBER(S8),ABS(S8)&gt;5)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2" style="0" width="17"/>
  </cols>
  <sheetData>
    <row r="1" customFormat="false" ht="16.15" hidden="false" customHeight="false" outlineLevel="0" collapsed="false">
      <c r="A1" s="1" t="s">
        <v>131</v>
      </c>
    </row>
    <row r="2" customFormat="false" ht="15" hidden="false" customHeight="false" outlineLevel="0" collapsed="false">
      <c r="A2" s="2" t="s">
        <v>132</v>
      </c>
    </row>
    <row r="4" customFormat="false" ht="31.5" hidden="false" customHeight="true" outlineLevel="0" collapsed="false">
      <c r="A4" s="7" t="s">
        <v>11</v>
      </c>
      <c r="B4" s="7" t="s">
        <v>133</v>
      </c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7" t="s">
        <v>134</v>
      </c>
      <c r="J4" s="7" t="s">
        <v>135</v>
      </c>
      <c r="K4" s="7" t="s">
        <v>136</v>
      </c>
    </row>
    <row r="5" customFormat="false" ht="15" hidden="false" customHeight="false" outlineLevel="0" collapsed="false">
      <c r="A5" s="16" t="s">
        <v>30</v>
      </c>
      <c r="B5" s="18" t="n">
        <f aca="false">SUMIFS('Fiche décompte'!$E$8:$E$79,'Fiche décompte'!$C$8:$C$79,$A5)</f>
        <v>5549400000</v>
      </c>
      <c r="C5" s="18" t="n">
        <f aca="false">SUMIFS('Fiche décompte'!$M$8:$M$79,'Fiche décompte'!$C$8:$C$79,$A5)</f>
        <v>34961220</v>
      </c>
      <c r="D5" s="18" t="n">
        <f aca="false">SUMIFS('Fiche décompte'!$N$8:$N$79,'Fiche décompte'!$C$8:$C$79,$A5)</f>
        <v>664263180</v>
      </c>
      <c r="E5" s="18" t="n">
        <f aca="false">SUMIFS('Fiche décompte'!$O$8:$O$79,'Fiche décompte'!$C$8:$C$79,$A5)</f>
        <v>14983380</v>
      </c>
      <c r="F5" s="18" t="n">
        <f aca="false">SUMIFS('Fiche décompte'!$P$8:$P$79,'Fiche décompte'!$C$8:$C$79,$A5)</f>
        <v>284684220</v>
      </c>
      <c r="G5" s="18" t="n">
        <f aca="false">SUMIFS('Fiche décompte'!$Q$8:$Q$79,'Fiche décompte'!$C$8:$C$79,$A5)</f>
        <v>699224400</v>
      </c>
      <c r="H5" s="18" t="n">
        <f aca="false">SUMIFS('Fiche décompte'!$R$8:$R$79,'Fiche décompte'!$C$8:$C$79,$A5)</f>
        <v>299667600</v>
      </c>
      <c r="I5" s="18" t="n">
        <f aca="false">G5+H5</f>
        <v>998892000</v>
      </c>
      <c r="J5" s="18" t="n">
        <f aca="false">SUMIFS('Fiche décompte'!$K$8:$K$79,'Fiche décompte'!$C$8:$C$79,$A5)</f>
        <v>998892000</v>
      </c>
      <c r="K5" s="18" t="n">
        <f aca="false">I5-J5</f>
        <v>0</v>
      </c>
    </row>
    <row r="6" customFormat="false" ht="15" hidden="false" customHeight="false" outlineLevel="0" collapsed="false">
      <c r="A6" s="16" t="s">
        <v>35</v>
      </c>
      <c r="B6" s="18" t="n">
        <f aca="false">SUMIFS('Fiche décompte'!$E$8:$E$79,'Fiche décompte'!$C$8:$C$79,$A6)</f>
        <v>10977747877</v>
      </c>
      <c r="C6" s="18" t="n">
        <f aca="false">SUMIFS('Fiche décompte'!$M$8:$M$79,'Fiche décompte'!$C$8:$C$79,$A6)</f>
        <v>71868332</v>
      </c>
      <c r="D6" s="18" t="n">
        <f aca="false">SUMIFS('Fiche décompte'!$N$8:$N$79,'Fiche décompte'!$C$8:$C$79,$A6)</f>
        <v>1365498339</v>
      </c>
      <c r="E6" s="18" t="n">
        <f aca="false">SUMIFS('Fiche décompte'!$O$8:$O$79,'Fiche décompte'!$C$8:$C$79,$A6)</f>
        <v>26931397</v>
      </c>
      <c r="F6" s="18" t="n">
        <f aca="false">SUMIFS('Fiche décompte'!$P$8:$P$79,'Fiche décompte'!$C$8:$C$79,$A6)</f>
        <v>511696551</v>
      </c>
      <c r="G6" s="18" t="n">
        <f aca="false">SUMIFS('Fiche décompte'!$Q$8:$Q$79,'Fiche décompte'!$C$8:$C$79,$A6)</f>
        <v>1437366671</v>
      </c>
      <c r="H6" s="18" t="n">
        <f aca="false">SUMIFS('Fiche décompte'!$R$8:$R$79,'Fiche décompte'!$C$8:$C$79,$A6)</f>
        <v>538627948</v>
      </c>
      <c r="I6" s="18" t="n">
        <f aca="false">G6+H6</f>
        <v>1975994619</v>
      </c>
      <c r="J6" s="18" t="n">
        <f aca="false">SUMIFS('Fiche décompte'!$K$8:$K$79,'Fiche décompte'!$C$8:$C$79,$A6)</f>
        <v>1975994620</v>
      </c>
      <c r="K6" s="18" t="n">
        <f aca="false">I6-J6</f>
        <v>-1</v>
      </c>
    </row>
    <row r="7" customFormat="false" ht="15" hidden="false" customHeight="false" outlineLevel="0" collapsed="false">
      <c r="A7" s="16" t="s">
        <v>38</v>
      </c>
      <c r="B7" s="18" t="n">
        <f aca="false">SUMIFS('Fiche décompte'!$E$8:$E$79,'Fiche décompte'!$C$8:$C$79,$A7)</f>
        <v>2744436971</v>
      </c>
      <c r="C7" s="18" t="n">
        <f aca="false">SUMIFS('Fiche décompte'!$M$8:$M$79,'Fiche décompte'!$C$8:$C$79,$A7)</f>
        <v>17967085</v>
      </c>
      <c r="D7" s="18" t="n">
        <f aca="false">SUMIFS('Fiche décompte'!$N$8:$N$79,'Fiche décompte'!$C$8:$C$79,$A7)</f>
        <v>341374584</v>
      </c>
      <c r="E7" s="18" t="n">
        <f aca="false">SUMIFS('Fiche décompte'!$O$8:$O$79,'Fiche décompte'!$C$8:$C$79,$A7)</f>
        <v>6732849</v>
      </c>
      <c r="F7" s="18" t="n">
        <f aca="false">SUMIFS('Fiche décompte'!$P$8:$P$79,'Fiche décompte'!$C$8:$C$79,$A7)</f>
        <v>127924139</v>
      </c>
      <c r="G7" s="18" t="n">
        <f aca="false">SUMIFS('Fiche décompte'!$Q$8:$Q$79,'Fiche décompte'!$C$8:$C$79,$A7)</f>
        <v>359341669</v>
      </c>
      <c r="H7" s="18" t="n">
        <f aca="false">SUMIFS('Fiche décompte'!$R$8:$R$79,'Fiche décompte'!$C$8:$C$79,$A7)</f>
        <v>134656988</v>
      </c>
      <c r="I7" s="18" t="n">
        <f aca="false">G7+H7</f>
        <v>493998657</v>
      </c>
      <c r="J7" s="18" t="n">
        <f aca="false">SUMIFS('Fiche décompte'!$K$8:$K$79,'Fiche décompte'!$C$8:$C$79,$A7)</f>
        <v>492328403</v>
      </c>
      <c r="K7" s="18" t="n">
        <f aca="false">I7-J7</f>
        <v>1670254</v>
      </c>
    </row>
    <row r="8" customFormat="false" ht="15" hidden="false" customHeight="false" outlineLevel="0" collapsed="false">
      <c r="A8" s="16" t="s">
        <v>40</v>
      </c>
      <c r="B8" s="18" t="n">
        <f aca="false">SUMIFS('Fiche décompte'!$E$8:$E$79,'Fiche décompte'!$C$8:$C$79,$A8)</f>
        <v>548887396</v>
      </c>
      <c r="C8" s="18" t="n">
        <f aca="false">SUMIFS('Fiche décompte'!$M$8:$M$79,'Fiche décompte'!$C$8:$C$79,$A8)</f>
        <v>3593417</v>
      </c>
      <c r="D8" s="18" t="n">
        <f aca="false">SUMIFS('Fiche décompte'!$N$8:$N$79,'Fiche décompte'!$C$8:$C$79,$A8)</f>
        <v>68274918</v>
      </c>
      <c r="E8" s="18" t="n">
        <f aca="false">SUMIFS('Fiche décompte'!$O$8:$O$79,'Fiche décompte'!$C$8:$C$79,$A8)</f>
        <v>1346570</v>
      </c>
      <c r="F8" s="18" t="n">
        <f aca="false">SUMIFS('Fiche décompte'!$P$8:$P$79,'Fiche décompte'!$C$8:$C$79,$A8)</f>
        <v>25584826</v>
      </c>
      <c r="G8" s="18" t="n">
        <f aca="false">SUMIFS('Fiche décompte'!$Q$8:$Q$79,'Fiche décompte'!$C$8:$C$79,$A8)</f>
        <v>71868335</v>
      </c>
      <c r="H8" s="18" t="n">
        <f aca="false">SUMIFS('Fiche décompte'!$R$8:$R$79,'Fiche décompte'!$C$8:$C$79,$A8)</f>
        <v>26931396</v>
      </c>
      <c r="I8" s="18" t="n">
        <f aca="false">G8+H8</f>
        <v>98799731</v>
      </c>
      <c r="J8" s="18" t="n">
        <f aca="false">SUMIFS('Fiche décompte'!$K$8:$K$79,'Fiche décompte'!$C$8:$C$79,$A8)</f>
        <v>98799732</v>
      </c>
      <c r="K8" s="18" t="n">
        <f aca="false">I8-J8</f>
        <v>-1</v>
      </c>
    </row>
    <row r="9" customFormat="false" ht="15" hidden="false" customHeight="false" outlineLevel="0" collapsed="false">
      <c r="A9" s="16" t="s">
        <v>73</v>
      </c>
      <c r="B9" s="18" t="n">
        <f aca="false">SUMIFS('Fiche décompte'!$E$8:$E$79,'Fiche décompte'!$C$8:$C$79,$A9)</f>
        <v>5549400000</v>
      </c>
      <c r="C9" s="18" t="n">
        <f aca="false">SUMIFS('Fiche décompte'!$M$8:$M$79,'Fiche décompte'!$C$8:$C$79,$A9)</f>
        <v>34961220</v>
      </c>
      <c r="D9" s="18" t="n">
        <f aca="false">SUMIFS('Fiche décompte'!$N$8:$N$79,'Fiche décompte'!$C$8:$C$79,$A9)</f>
        <v>664263180</v>
      </c>
      <c r="E9" s="18" t="n">
        <f aca="false">SUMIFS('Fiche décompte'!$O$8:$O$79,'Fiche décompte'!$C$8:$C$79,$A9)</f>
        <v>14983380</v>
      </c>
      <c r="F9" s="18" t="n">
        <f aca="false">SUMIFS('Fiche décompte'!$P$8:$P$79,'Fiche décompte'!$C$8:$C$79,$A9)</f>
        <v>284684220</v>
      </c>
      <c r="G9" s="18" t="n">
        <f aca="false">SUMIFS('Fiche décompte'!$Q$8:$Q$79,'Fiche décompte'!$C$8:$C$79,$A9)</f>
        <v>699224400</v>
      </c>
      <c r="H9" s="18" t="n">
        <f aca="false">SUMIFS('Fiche décompte'!$R$8:$R$79,'Fiche décompte'!$C$8:$C$79,$A9)</f>
        <v>299667600</v>
      </c>
      <c r="I9" s="18" t="n">
        <f aca="false">G9+H9</f>
        <v>998892000</v>
      </c>
      <c r="J9" s="18" t="n">
        <f aca="false">SUMIFS('Fiche décompte'!$K$8:$K$79,'Fiche décompte'!$C$8:$C$79,$A9)</f>
        <v>998892000</v>
      </c>
      <c r="K9" s="18" t="n">
        <f aca="false">I9-J9</f>
        <v>0</v>
      </c>
    </row>
    <row r="10" customFormat="false" ht="15" hidden="false" customHeight="false" outlineLevel="0" collapsed="false">
      <c r="A10" s="16" t="s">
        <v>101</v>
      </c>
      <c r="B10" s="18" t="n">
        <f aca="false">SUMIFS('Fiche décompte'!$E$8:$E$79,'Fiche décompte'!$C$8:$C$79,$A10)</f>
        <v>1458755037</v>
      </c>
      <c r="C10" s="18" t="n">
        <f aca="false">SUMIFS('Fiche décompte'!$M$8:$M$79,'Fiche décompte'!$C$8:$C$79,$A10)</f>
        <v>6999154</v>
      </c>
      <c r="D10" s="18" t="n">
        <f aca="false">SUMIFS('Fiche décompte'!$N$8:$N$79,'Fiche décompte'!$C$8:$C$79,$A10)</f>
        <v>132983919</v>
      </c>
      <c r="E10" s="18" t="n">
        <f aca="false">SUMIFS('Fiche décompte'!$O$8:$O$79,'Fiche décompte'!$C$8:$C$79,$A10)</f>
        <v>6129642</v>
      </c>
      <c r="F10" s="18" t="n">
        <f aca="false">SUMIFS('Fiche décompte'!$P$8:$P$79,'Fiche décompte'!$C$8:$C$79,$A10)</f>
        <v>116463193</v>
      </c>
      <c r="G10" s="18" t="n">
        <f aca="false">SUMIFS('Fiche décompte'!$Q$8:$Q$79,'Fiche décompte'!$C$8:$C$79,$A10)</f>
        <v>139983073</v>
      </c>
      <c r="H10" s="18" t="n">
        <f aca="false">SUMIFS('Fiche décompte'!$R$8:$R$79,'Fiche décompte'!$C$8:$C$79,$A10)</f>
        <v>122592835</v>
      </c>
      <c r="I10" s="18" t="n">
        <f aca="false">G10+H10</f>
        <v>262575908</v>
      </c>
      <c r="J10" s="18" t="n">
        <f aca="false">SUMIFS('Fiche décompte'!$K$8:$K$79,'Fiche décompte'!$C$8:$C$79,$A10)</f>
        <v>262575907</v>
      </c>
      <c r="K10" s="18" t="n">
        <f aca="false">I10-J10</f>
        <v>1</v>
      </c>
    </row>
    <row r="11" customFormat="false" ht="15" hidden="false" customHeight="false" outlineLevel="0" collapsed="false">
      <c r="A11" s="16"/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 customFormat="false" ht="15" hidden="false" customHeight="false" outlineLevel="0" collapsed="false">
      <c r="A12" s="24" t="s">
        <v>137</v>
      </c>
      <c r="B12" s="25" t="n">
        <f aca="false">B5-B7</f>
        <v>2804963029</v>
      </c>
      <c r="C12" s="25" t="n">
        <f aca="false">C5-C7</f>
        <v>16994135</v>
      </c>
      <c r="D12" s="25" t="n">
        <f aca="false">D5-D7</f>
        <v>322888596</v>
      </c>
      <c r="E12" s="25" t="n">
        <f aca="false">E5-E7</f>
        <v>8250531</v>
      </c>
      <c r="F12" s="25" t="n">
        <f aca="false">F5-F7</f>
        <v>156760081</v>
      </c>
      <c r="G12" s="25" t="n">
        <f aca="false">G5-G7</f>
        <v>339882731</v>
      </c>
      <c r="H12" s="25" t="n">
        <f aca="false">H5-H7</f>
        <v>165010612</v>
      </c>
      <c r="I12" s="25" t="n">
        <f aca="false">I5-I7</f>
        <v>504893343</v>
      </c>
      <c r="J12" s="25" t="n">
        <f aca="false">J5-J7</f>
        <v>506563597</v>
      </c>
      <c r="K12" s="25" t="n">
        <f aca="false">K5-K7</f>
        <v>-1670254</v>
      </c>
    </row>
    <row r="13" customFormat="false" ht="15" hidden="false" customHeight="false" outlineLevel="0" collapsed="false">
      <c r="A13" s="24" t="s">
        <v>138</v>
      </c>
      <c r="B13" s="25" t="n">
        <f aca="false">B9-B10</f>
        <v>4090644963</v>
      </c>
      <c r="C13" s="25" t="n">
        <f aca="false">C9-C10</f>
        <v>27962066</v>
      </c>
      <c r="D13" s="25" t="n">
        <f aca="false">D9-D10</f>
        <v>531279261</v>
      </c>
      <c r="E13" s="25" t="n">
        <f aca="false">E9-E10</f>
        <v>8853738</v>
      </c>
      <c r="F13" s="25" t="n">
        <f aca="false">F9-F10</f>
        <v>168221027</v>
      </c>
      <c r="G13" s="25" t="n">
        <f aca="false">G9-G10</f>
        <v>559241327</v>
      </c>
      <c r="H13" s="25" t="n">
        <f aca="false">H9-H10</f>
        <v>177074765</v>
      </c>
      <c r="I13" s="25" t="n">
        <f aca="false">I9-I10</f>
        <v>736316092</v>
      </c>
      <c r="J13" s="25" t="n">
        <f aca="false">J9-J10</f>
        <v>736316093</v>
      </c>
      <c r="K13" s="25" t="n">
        <f aca="false">K9-K10</f>
        <v>-1</v>
      </c>
    </row>
    <row r="15" customFormat="false" ht="15" hidden="false" customHeight="false" outlineLevel="0" collapsed="false">
      <c r="A15" s="2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2026-10-20T12:55:04Z</dcterms:created>
  <dc:creator>openpyxl</dc:creator>
  <dc:description/>
  <dc:language>en-US</dc:language>
  <cp:lastModifiedBy/>
  <dcterms:modified xsi:type="dcterms:W3CDTF">2026-10-20T12:55:04Z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